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92be1437b2097b6/Área de Trabalho/"/>
    </mc:Choice>
  </mc:AlternateContent>
  <xr:revisionPtr revIDLastSave="160" documentId="8_{804DF416-2AC8-4C19-BB7A-47C7644D509D}" xr6:coauthVersionLast="47" xr6:coauthVersionMax="47" xr10:uidLastSave="{C5A1482F-75A6-41F1-8F3E-440AC4FB942E}"/>
  <bookViews>
    <workbookView xWindow="22932" yWindow="-108" windowWidth="23256" windowHeight="12576" tabRatio="579" xr2:uid="{00000000-000D-0000-FFFF-FFFF00000000}"/>
  </bookViews>
  <sheets>
    <sheet name="AMBIENTES" sheetId="9" r:id="rId1"/>
    <sheet name="LAMPADAS" sheetId="2" r:id="rId2"/>
    <sheet name="NBR" sheetId="3" r:id="rId3"/>
    <sheet name="CONSULTA" sheetId="4" r:id="rId4"/>
    <sheet name="TUTORIAL" sheetId="5" r:id="rId5"/>
    <sheet name="_LISTAS" sheetId="6" state="hidden" r:id="rId6"/>
  </sheets>
  <definedNames>
    <definedName name="_xlnm._FilterDatabase" localSheetId="0" hidden="1">AMBIENTES!$C$3:$Y$169</definedName>
    <definedName name="_xleta_N" localSheetId="0">none</definedName>
    <definedName name="_xleta_N">none</definedName>
    <definedName name="_xleta_ROUNDUP" localSheetId="0">none</definedName>
    <definedName name="_xleta_ROUNDUP">none</definedName>
    <definedName name="_xleta_TEXT" localSheetId="0">none</definedName>
    <definedName name="_xleta_TEXT">none</definedName>
    <definedName name="_xlfn_SINGLE" localSheetId="0">none</definedName>
    <definedName name="_xlfn_SINGLE">none</definedName>
    <definedName name="_xlfn_XLOOKUP" localSheetId="0">none</definedName>
    <definedName name="_xlfn_XLOOKUP">none</definedName>
    <definedName name="Fluxo">LAMPADAS!$A$3:$D$14</definedName>
    <definedName name="Fluxo_Lampadas">LAMPADAS!$A$3:$D$14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1" i="9" l="1"/>
  <c r="T170" i="9"/>
  <c r="U169" i="9"/>
  <c r="T169" i="9"/>
  <c r="S169" i="9"/>
  <c r="P169" i="9"/>
  <c r="K169" i="9"/>
  <c r="R168" i="9"/>
  <c r="S168" i="9" s="1"/>
  <c r="P168" i="9"/>
  <c r="M168" i="9"/>
  <c r="J168" i="9"/>
  <c r="E168" i="9"/>
  <c r="R167" i="9"/>
  <c r="S167" i="9" s="1"/>
  <c r="M167" i="9"/>
  <c r="J167" i="9"/>
  <c r="U167" i="9" s="1"/>
  <c r="E167" i="9"/>
  <c r="T167" i="9" s="1"/>
  <c r="R166" i="9"/>
  <c r="S166" i="9" s="1"/>
  <c r="M166" i="9"/>
  <c r="J166" i="9"/>
  <c r="E166" i="9"/>
  <c r="U166" i="9" s="1"/>
  <c r="R165" i="9"/>
  <c r="S165" i="9" s="1"/>
  <c r="M165" i="9"/>
  <c r="J165" i="9"/>
  <c r="E165" i="9"/>
  <c r="R164" i="9"/>
  <c r="S164" i="9" s="1"/>
  <c r="P164" i="9"/>
  <c r="M164" i="9"/>
  <c r="V164" i="9" s="1"/>
  <c r="K164" i="9"/>
  <c r="J164" i="9"/>
  <c r="T164" i="9" s="1"/>
  <c r="E164" i="9"/>
  <c r="R163" i="9"/>
  <c r="S163" i="9" s="1"/>
  <c r="M163" i="9"/>
  <c r="J163" i="9"/>
  <c r="E163" i="9"/>
  <c r="P163" i="9" s="1"/>
  <c r="R162" i="9"/>
  <c r="S162" i="9" s="1"/>
  <c r="M162" i="9"/>
  <c r="J162" i="9"/>
  <c r="E162" i="9"/>
  <c r="V162" i="9" s="1"/>
  <c r="R161" i="9"/>
  <c r="S161" i="9" s="1"/>
  <c r="M161" i="9"/>
  <c r="J161" i="9"/>
  <c r="E161" i="9"/>
  <c r="T161" i="9" s="1"/>
  <c r="R160" i="9"/>
  <c r="S160" i="9" s="1"/>
  <c r="M160" i="9"/>
  <c r="J160" i="9"/>
  <c r="E160" i="9"/>
  <c r="S159" i="9"/>
  <c r="R159" i="9"/>
  <c r="M159" i="9"/>
  <c r="J159" i="9"/>
  <c r="E159" i="9"/>
  <c r="R158" i="9"/>
  <c r="S158" i="9" s="1"/>
  <c r="M158" i="9"/>
  <c r="J158" i="9"/>
  <c r="T158" i="9" s="1"/>
  <c r="E158" i="9"/>
  <c r="V158" i="9" s="1"/>
  <c r="R157" i="9"/>
  <c r="S157" i="9" s="1"/>
  <c r="M157" i="9"/>
  <c r="V157" i="9" s="1"/>
  <c r="J157" i="9"/>
  <c r="E157" i="9"/>
  <c r="R156" i="9"/>
  <c r="S156" i="9" s="1"/>
  <c r="M156" i="9"/>
  <c r="J156" i="9"/>
  <c r="E156" i="9"/>
  <c r="T155" i="9"/>
  <c r="R155" i="9"/>
  <c r="S155" i="9" s="1"/>
  <c r="M155" i="9"/>
  <c r="V155" i="9" s="1"/>
  <c r="K155" i="9"/>
  <c r="J155" i="9"/>
  <c r="E155" i="9"/>
  <c r="P155" i="9" s="1"/>
  <c r="R154" i="9"/>
  <c r="S154" i="9" s="1"/>
  <c r="M154" i="9"/>
  <c r="J154" i="9"/>
  <c r="E154" i="9"/>
  <c r="S153" i="9"/>
  <c r="R153" i="9"/>
  <c r="M153" i="9"/>
  <c r="J153" i="9"/>
  <c r="E153" i="9"/>
  <c r="V152" i="9"/>
  <c r="R152" i="9"/>
  <c r="S152" i="9" s="1"/>
  <c r="M152" i="9"/>
  <c r="K152" i="9"/>
  <c r="J152" i="9"/>
  <c r="T152" i="9" s="1"/>
  <c r="E152" i="9"/>
  <c r="S151" i="9"/>
  <c r="R151" i="9"/>
  <c r="M151" i="9"/>
  <c r="V151" i="9" s="1"/>
  <c r="K151" i="9"/>
  <c r="J151" i="9"/>
  <c r="T151" i="9" s="1"/>
  <c r="E151" i="9"/>
  <c r="R150" i="9"/>
  <c r="S150" i="9" s="1"/>
  <c r="M150" i="9"/>
  <c r="J150" i="9"/>
  <c r="E150" i="9"/>
  <c r="V150" i="9" s="1"/>
  <c r="R149" i="9"/>
  <c r="S149" i="9" s="1"/>
  <c r="M149" i="9"/>
  <c r="V149" i="9" s="1"/>
  <c r="J149" i="9"/>
  <c r="E149" i="9"/>
  <c r="K149" i="9" s="1"/>
  <c r="R148" i="9"/>
  <c r="S148" i="9" s="1"/>
  <c r="M148" i="9"/>
  <c r="J148" i="9"/>
  <c r="E148" i="9"/>
  <c r="V147" i="9"/>
  <c r="R147" i="9"/>
  <c r="S147" i="9" s="1"/>
  <c r="M147" i="9"/>
  <c r="J147" i="9"/>
  <c r="T147" i="9" s="1"/>
  <c r="E147" i="9"/>
  <c r="R146" i="9"/>
  <c r="S146" i="9" s="1"/>
  <c r="M146" i="9"/>
  <c r="V146" i="9" s="1"/>
  <c r="K146" i="9"/>
  <c r="J146" i="9"/>
  <c r="E146" i="9"/>
  <c r="R145" i="9"/>
  <c r="S145" i="9" s="1"/>
  <c r="M145" i="9"/>
  <c r="K145" i="9"/>
  <c r="J145" i="9"/>
  <c r="U145" i="9" s="1"/>
  <c r="E145" i="9"/>
  <c r="T144" i="9"/>
  <c r="R144" i="9"/>
  <c r="S144" i="9" s="1"/>
  <c r="M144" i="9"/>
  <c r="J144" i="9"/>
  <c r="E144" i="9"/>
  <c r="V144" i="9" s="1"/>
  <c r="R143" i="9"/>
  <c r="S143" i="9" s="1"/>
  <c r="M143" i="9"/>
  <c r="K143" i="9"/>
  <c r="J143" i="9"/>
  <c r="U143" i="9" s="1"/>
  <c r="E143" i="9"/>
  <c r="R142" i="9"/>
  <c r="S142" i="9" s="1"/>
  <c r="M142" i="9"/>
  <c r="J142" i="9"/>
  <c r="E142" i="9"/>
  <c r="P142" i="9" s="1"/>
  <c r="R141" i="9"/>
  <c r="S141" i="9" s="1"/>
  <c r="M141" i="9"/>
  <c r="J141" i="9"/>
  <c r="E141" i="9"/>
  <c r="V141" i="9" s="1"/>
  <c r="R140" i="9"/>
  <c r="S140" i="9" s="1"/>
  <c r="M140" i="9"/>
  <c r="J140" i="9"/>
  <c r="E140" i="9"/>
  <c r="K140" i="9" s="1"/>
  <c r="R139" i="9"/>
  <c r="S139" i="9" s="1"/>
  <c r="M139" i="9"/>
  <c r="V139" i="9" s="1"/>
  <c r="K139" i="9"/>
  <c r="J139" i="9"/>
  <c r="U139" i="9" s="1"/>
  <c r="E139" i="9"/>
  <c r="V138" i="9"/>
  <c r="T138" i="9"/>
  <c r="R138" i="9"/>
  <c r="S138" i="9" s="1"/>
  <c r="M138" i="9"/>
  <c r="J138" i="9"/>
  <c r="E138" i="9"/>
  <c r="R137" i="9"/>
  <c r="S137" i="9" s="1"/>
  <c r="M137" i="9"/>
  <c r="V137" i="9" s="1"/>
  <c r="K137" i="9"/>
  <c r="J137" i="9"/>
  <c r="T137" i="9" s="1"/>
  <c r="E137" i="9"/>
  <c r="R136" i="9"/>
  <c r="S136" i="9" s="1"/>
  <c r="M136" i="9"/>
  <c r="J136" i="9"/>
  <c r="E136" i="9"/>
  <c r="S135" i="9"/>
  <c r="R135" i="9"/>
  <c r="M135" i="9"/>
  <c r="J135" i="9"/>
  <c r="E135" i="9"/>
  <c r="V135" i="9" s="1"/>
  <c r="R134" i="9"/>
  <c r="S134" i="9" s="1"/>
  <c r="M134" i="9"/>
  <c r="V134" i="9" s="1"/>
  <c r="K134" i="9"/>
  <c r="J134" i="9"/>
  <c r="E134" i="9"/>
  <c r="T134" i="9" s="1"/>
  <c r="R133" i="9"/>
  <c r="S133" i="9" s="1"/>
  <c r="M133" i="9"/>
  <c r="V133" i="9" s="1"/>
  <c r="J133" i="9"/>
  <c r="E133" i="9"/>
  <c r="R132" i="9"/>
  <c r="S132" i="9" s="1"/>
  <c r="M132" i="9"/>
  <c r="V132" i="9" s="1"/>
  <c r="J132" i="9"/>
  <c r="E132" i="9"/>
  <c r="R131" i="9"/>
  <c r="S131" i="9" s="1"/>
  <c r="M131" i="9"/>
  <c r="V131" i="9" s="1"/>
  <c r="K131" i="9"/>
  <c r="J131" i="9"/>
  <c r="E131" i="9"/>
  <c r="T131" i="9" s="1"/>
  <c r="R130" i="9"/>
  <c r="S130" i="9" s="1"/>
  <c r="M130" i="9"/>
  <c r="J130" i="9"/>
  <c r="E130" i="9"/>
  <c r="R129" i="9"/>
  <c r="S129" i="9" s="1"/>
  <c r="M129" i="9"/>
  <c r="J129" i="9"/>
  <c r="E129" i="9"/>
  <c r="V129" i="9" s="1"/>
  <c r="R128" i="9"/>
  <c r="S128" i="9" s="1"/>
  <c r="M128" i="9"/>
  <c r="J128" i="9"/>
  <c r="E128" i="9"/>
  <c r="T128" i="9" s="1"/>
  <c r="S127" i="9"/>
  <c r="R127" i="9"/>
  <c r="M127" i="9"/>
  <c r="J127" i="9"/>
  <c r="E127" i="9"/>
  <c r="P127" i="9" s="1"/>
  <c r="R126" i="9"/>
  <c r="S126" i="9" s="1"/>
  <c r="M126" i="9"/>
  <c r="J126" i="9"/>
  <c r="E126" i="9"/>
  <c r="T125" i="9"/>
  <c r="R125" i="9"/>
  <c r="S125" i="9" s="1"/>
  <c r="M125" i="9"/>
  <c r="J125" i="9"/>
  <c r="E125" i="9"/>
  <c r="P125" i="9" s="1"/>
  <c r="R124" i="9"/>
  <c r="S124" i="9" s="1"/>
  <c r="M124" i="9"/>
  <c r="J124" i="9"/>
  <c r="E124" i="9"/>
  <c r="P124" i="9" s="1"/>
  <c r="R123" i="9"/>
  <c r="S123" i="9" s="1"/>
  <c r="M123" i="9"/>
  <c r="J123" i="9"/>
  <c r="E123" i="9"/>
  <c r="R122" i="9"/>
  <c r="S122" i="9" s="1"/>
  <c r="M122" i="9"/>
  <c r="K122" i="9"/>
  <c r="J122" i="9"/>
  <c r="U122" i="9" s="1"/>
  <c r="E122" i="9"/>
  <c r="V122" i="9" s="1"/>
  <c r="R121" i="9"/>
  <c r="S121" i="9" s="1"/>
  <c r="M121" i="9"/>
  <c r="V121" i="9" s="1"/>
  <c r="K121" i="9"/>
  <c r="J121" i="9"/>
  <c r="E121" i="9"/>
  <c r="R120" i="9"/>
  <c r="S120" i="9" s="1"/>
  <c r="M120" i="9"/>
  <c r="J120" i="9"/>
  <c r="E120" i="9"/>
  <c r="V119" i="9"/>
  <c r="R119" i="9"/>
  <c r="S119" i="9" s="1"/>
  <c r="M119" i="9"/>
  <c r="K119" i="9"/>
  <c r="J119" i="9"/>
  <c r="E119" i="9"/>
  <c r="T119" i="9" s="1"/>
  <c r="R118" i="9"/>
  <c r="S118" i="9" s="1"/>
  <c r="M118" i="9"/>
  <c r="V118" i="9" s="1"/>
  <c r="J118" i="9"/>
  <c r="E118" i="9"/>
  <c r="K118" i="9" s="1"/>
  <c r="S117" i="9"/>
  <c r="R117" i="9"/>
  <c r="M117" i="9"/>
  <c r="J117" i="9"/>
  <c r="E117" i="9"/>
  <c r="R116" i="9"/>
  <c r="S116" i="9" s="1"/>
  <c r="M116" i="9"/>
  <c r="J116" i="9"/>
  <c r="E116" i="9"/>
  <c r="V116" i="9" s="1"/>
  <c r="S115" i="9"/>
  <c r="R115" i="9"/>
  <c r="M115" i="9"/>
  <c r="J115" i="9"/>
  <c r="E115" i="9"/>
  <c r="K115" i="9" s="1"/>
  <c r="R114" i="9"/>
  <c r="S114" i="9" s="1"/>
  <c r="M114" i="9"/>
  <c r="J114" i="9"/>
  <c r="P114" i="9" s="1"/>
  <c r="E114" i="9"/>
  <c r="V113" i="9"/>
  <c r="R113" i="9"/>
  <c r="S113" i="9" s="1"/>
  <c r="M113" i="9"/>
  <c r="K113" i="9"/>
  <c r="J113" i="9"/>
  <c r="E113" i="9"/>
  <c r="T113" i="9" s="1"/>
  <c r="R112" i="9"/>
  <c r="S112" i="9" s="1"/>
  <c r="M112" i="9"/>
  <c r="J112" i="9"/>
  <c r="E112" i="9"/>
  <c r="T112" i="9" s="1"/>
  <c r="R111" i="9"/>
  <c r="S111" i="9" s="1"/>
  <c r="M111" i="9"/>
  <c r="J111" i="9"/>
  <c r="E111" i="9"/>
  <c r="R110" i="9"/>
  <c r="S110" i="9" s="1"/>
  <c r="M110" i="9"/>
  <c r="V110" i="9" s="1"/>
  <c r="K110" i="9"/>
  <c r="J110" i="9"/>
  <c r="P110" i="9" s="1"/>
  <c r="E110" i="9"/>
  <c r="T109" i="9"/>
  <c r="R109" i="9"/>
  <c r="S109" i="9" s="1"/>
  <c r="M109" i="9"/>
  <c r="J109" i="9"/>
  <c r="E109" i="9"/>
  <c r="K109" i="9" s="1"/>
  <c r="R108" i="9"/>
  <c r="S108" i="9" s="1"/>
  <c r="M108" i="9"/>
  <c r="J108" i="9"/>
  <c r="E108" i="9"/>
  <c r="V107" i="9"/>
  <c r="R107" i="9"/>
  <c r="S107" i="9" s="1"/>
  <c r="M107" i="9"/>
  <c r="K107" i="9"/>
  <c r="J107" i="9"/>
  <c r="E107" i="9"/>
  <c r="T107" i="9" s="1"/>
  <c r="R106" i="9"/>
  <c r="S106" i="9" s="1"/>
  <c r="M106" i="9"/>
  <c r="J106" i="9"/>
  <c r="E106" i="9"/>
  <c r="T106" i="9" s="1"/>
  <c r="R105" i="9"/>
  <c r="S105" i="9" s="1"/>
  <c r="M105" i="9"/>
  <c r="J105" i="9"/>
  <c r="E105" i="9"/>
  <c r="R104" i="9"/>
  <c r="S104" i="9" s="1"/>
  <c r="M104" i="9"/>
  <c r="J104" i="9"/>
  <c r="T104" i="9" s="1"/>
  <c r="E104" i="9"/>
  <c r="V104" i="9" s="1"/>
  <c r="V103" i="9"/>
  <c r="T103" i="9"/>
  <c r="R103" i="9"/>
  <c r="S103" i="9" s="1"/>
  <c r="M103" i="9"/>
  <c r="J103" i="9"/>
  <c r="E103" i="9"/>
  <c r="U103" i="9" s="1"/>
  <c r="S102" i="9"/>
  <c r="R102" i="9"/>
  <c r="M102" i="9"/>
  <c r="J102" i="9"/>
  <c r="E102" i="9"/>
  <c r="R101" i="9"/>
  <c r="S101" i="9" s="1"/>
  <c r="M101" i="9"/>
  <c r="V101" i="9" s="1"/>
  <c r="K101" i="9"/>
  <c r="J101" i="9"/>
  <c r="E101" i="9"/>
  <c r="R100" i="9"/>
  <c r="S100" i="9" s="1"/>
  <c r="M100" i="9"/>
  <c r="J100" i="9"/>
  <c r="E100" i="9"/>
  <c r="P100" i="9" s="1"/>
  <c r="R99" i="9"/>
  <c r="S99" i="9" s="1"/>
  <c r="M99" i="9"/>
  <c r="J99" i="9"/>
  <c r="E99" i="9"/>
  <c r="R98" i="9"/>
  <c r="S98" i="9" s="1"/>
  <c r="M98" i="9"/>
  <c r="J98" i="9"/>
  <c r="U98" i="9" s="1"/>
  <c r="E98" i="9"/>
  <c r="V98" i="9" s="1"/>
  <c r="V97" i="9"/>
  <c r="T97" i="9"/>
  <c r="S97" i="9"/>
  <c r="R97" i="9"/>
  <c r="M97" i="9"/>
  <c r="J97" i="9"/>
  <c r="E97" i="9"/>
  <c r="K97" i="9" s="1"/>
  <c r="R96" i="9"/>
  <c r="S96" i="9" s="1"/>
  <c r="M96" i="9"/>
  <c r="J96" i="9"/>
  <c r="E96" i="9"/>
  <c r="V96" i="9" s="1"/>
  <c r="R95" i="9"/>
  <c r="S95" i="9" s="1"/>
  <c r="M95" i="9"/>
  <c r="K95" i="9"/>
  <c r="J95" i="9"/>
  <c r="E95" i="9"/>
  <c r="V95" i="9" s="1"/>
  <c r="R94" i="9"/>
  <c r="S94" i="9" s="1"/>
  <c r="M94" i="9"/>
  <c r="V94" i="9" s="1"/>
  <c r="J94" i="9"/>
  <c r="U94" i="9" s="1"/>
  <c r="E94" i="9"/>
  <c r="R93" i="9"/>
  <c r="S93" i="9" s="1"/>
  <c r="M93" i="9"/>
  <c r="J93" i="9"/>
  <c r="E93" i="9"/>
  <c r="R92" i="9"/>
  <c r="S92" i="9" s="1"/>
  <c r="M92" i="9"/>
  <c r="J92" i="9"/>
  <c r="U92" i="9" s="1"/>
  <c r="E92" i="9"/>
  <c r="V92" i="9" s="1"/>
  <c r="V91" i="9"/>
  <c r="T91" i="9"/>
  <c r="R91" i="9"/>
  <c r="S91" i="9" s="1"/>
  <c r="M91" i="9"/>
  <c r="J91" i="9"/>
  <c r="E91" i="9"/>
  <c r="K91" i="9" s="1"/>
  <c r="R90" i="9"/>
  <c r="S90" i="9" s="1"/>
  <c r="M90" i="9"/>
  <c r="V90" i="9" s="1"/>
  <c r="J90" i="9"/>
  <c r="T90" i="9" s="1"/>
  <c r="E90" i="9"/>
  <c r="R89" i="9"/>
  <c r="S89" i="9" s="1"/>
  <c r="M89" i="9"/>
  <c r="V89" i="9" s="1"/>
  <c r="K89" i="9"/>
  <c r="J89" i="9"/>
  <c r="E89" i="9"/>
  <c r="R88" i="9"/>
  <c r="S88" i="9" s="1"/>
  <c r="M88" i="9"/>
  <c r="V88" i="9" s="1"/>
  <c r="J88" i="9"/>
  <c r="U88" i="9" s="1"/>
  <c r="E88" i="9"/>
  <c r="V87" i="9"/>
  <c r="T87" i="9"/>
  <c r="R87" i="9"/>
  <c r="S87" i="9" s="1"/>
  <c r="M87" i="9"/>
  <c r="J87" i="9"/>
  <c r="E87" i="9"/>
  <c r="P87" i="9" s="1"/>
  <c r="R86" i="9"/>
  <c r="S86" i="9" s="1"/>
  <c r="M86" i="9"/>
  <c r="V86" i="9" s="1"/>
  <c r="K86" i="9"/>
  <c r="J86" i="9"/>
  <c r="U86" i="9" s="1"/>
  <c r="E86" i="9"/>
  <c r="S85" i="9"/>
  <c r="R85" i="9"/>
  <c r="M85" i="9"/>
  <c r="J85" i="9"/>
  <c r="E85" i="9"/>
  <c r="R84" i="9"/>
  <c r="S84" i="9" s="1"/>
  <c r="M84" i="9"/>
  <c r="V84" i="9" s="1"/>
  <c r="J84" i="9"/>
  <c r="P84" i="9" s="1"/>
  <c r="E84" i="9"/>
  <c r="T83" i="9"/>
  <c r="R83" i="9"/>
  <c r="S83" i="9" s="1"/>
  <c r="M83" i="9"/>
  <c r="V83" i="9" s="1"/>
  <c r="J83" i="9"/>
  <c r="E83" i="9"/>
  <c r="K83" i="9" s="1"/>
  <c r="R82" i="9"/>
  <c r="S82" i="9" s="1"/>
  <c r="M82" i="9"/>
  <c r="J82" i="9"/>
  <c r="E82" i="9"/>
  <c r="P82" i="9" s="1"/>
  <c r="S81" i="9"/>
  <c r="R81" i="9"/>
  <c r="M81" i="9"/>
  <c r="J81" i="9"/>
  <c r="E81" i="9"/>
  <c r="V81" i="9" s="1"/>
  <c r="R80" i="9"/>
  <c r="S80" i="9" s="1"/>
  <c r="M80" i="9"/>
  <c r="J80" i="9"/>
  <c r="E80" i="9"/>
  <c r="V80" i="9" s="1"/>
  <c r="R79" i="9"/>
  <c r="S79" i="9" s="1"/>
  <c r="M79" i="9"/>
  <c r="J79" i="9"/>
  <c r="E79" i="9"/>
  <c r="V79" i="9" s="1"/>
  <c r="R78" i="9"/>
  <c r="S78" i="9" s="1"/>
  <c r="M78" i="9"/>
  <c r="J78" i="9"/>
  <c r="E78" i="9"/>
  <c r="V77" i="9"/>
  <c r="U77" i="9"/>
  <c r="T77" i="9"/>
  <c r="R77" i="9"/>
  <c r="S77" i="9" s="1"/>
  <c r="M77" i="9"/>
  <c r="K77" i="9"/>
  <c r="J77" i="9"/>
  <c r="P77" i="9" s="1"/>
  <c r="E77" i="9"/>
  <c r="R76" i="9"/>
  <c r="S76" i="9" s="1"/>
  <c r="M76" i="9"/>
  <c r="V76" i="9" s="1"/>
  <c r="J76" i="9"/>
  <c r="E76" i="9"/>
  <c r="T76" i="9" s="1"/>
  <c r="R75" i="9"/>
  <c r="S75" i="9" s="1"/>
  <c r="M75" i="9"/>
  <c r="J75" i="9"/>
  <c r="E75" i="9"/>
  <c r="R74" i="9"/>
  <c r="S74" i="9" s="1"/>
  <c r="M74" i="9"/>
  <c r="V74" i="9" s="1"/>
  <c r="K74" i="9"/>
  <c r="J74" i="9"/>
  <c r="U74" i="9" s="1"/>
  <c r="E74" i="9"/>
  <c r="V73" i="9"/>
  <c r="U73" i="9"/>
  <c r="T73" i="9"/>
  <c r="R73" i="9"/>
  <c r="S73" i="9" s="1"/>
  <c r="M73" i="9"/>
  <c r="J73" i="9"/>
  <c r="E73" i="9"/>
  <c r="R72" i="9"/>
  <c r="S72" i="9" s="1"/>
  <c r="M72" i="9"/>
  <c r="J72" i="9"/>
  <c r="T72" i="9" s="1"/>
  <c r="E72" i="9"/>
  <c r="R71" i="9"/>
  <c r="S71" i="9" s="1"/>
  <c r="M71" i="9"/>
  <c r="V71" i="9" s="1"/>
  <c r="K71" i="9"/>
  <c r="J71" i="9"/>
  <c r="E71" i="9"/>
  <c r="R70" i="9"/>
  <c r="S70" i="9" s="1"/>
  <c r="M70" i="9"/>
  <c r="V70" i="9" s="1"/>
  <c r="J70" i="9"/>
  <c r="U70" i="9" s="1"/>
  <c r="E70" i="9"/>
  <c r="V69" i="9"/>
  <c r="T69" i="9"/>
  <c r="R69" i="9"/>
  <c r="S69" i="9" s="1"/>
  <c r="M69" i="9"/>
  <c r="J69" i="9"/>
  <c r="E69" i="9"/>
  <c r="P69" i="9" s="1"/>
  <c r="R68" i="9"/>
  <c r="S68" i="9" s="1"/>
  <c r="M68" i="9"/>
  <c r="V68" i="9" s="1"/>
  <c r="K68" i="9"/>
  <c r="J68" i="9"/>
  <c r="U68" i="9" s="1"/>
  <c r="E68" i="9"/>
  <c r="S67" i="9"/>
  <c r="R67" i="9"/>
  <c r="M67" i="9"/>
  <c r="J67" i="9"/>
  <c r="E67" i="9"/>
  <c r="R66" i="9"/>
  <c r="S66" i="9" s="1"/>
  <c r="M66" i="9"/>
  <c r="V66" i="9" s="1"/>
  <c r="J66" i="9"/>
  <c r="P66" i="9" s="1"/>
  <c r="E66" i="9"/>
  <c r="T65" i="9"/>
  <c r="R65" i="9"/>
  <c r="S65" i="9" s="1"/>
  <c r="M65" i="9"/>
  <c r="V65" i="9" s="1"/>
  <c r="J65" i="9"/>
  <c r="E65" i="9"/>
  <c r="K65" i="9" s="1"/>
  <c r="R64" i="9"/>
  <c r="S64" i="9" s="1"/>
  <c r="M64" i="9"/>
  <c r="J64" i="9"/>
  <c r="E64" i="9"/>
  <c r="P64" i="9" s="1"/>
  <c r="S63" i="9"/>
  <c r="R63" i="9"/>
  <c r="M63" i="9"/>
  <c r="J63" i="9"/>
  <c r="E63" i="9"/>
  <c r="V63" i="9" s="1"/>
  <c r="R62" i="9"/>
  <c r="S62" i="9" s="1"/>
  <c r="M62" i="9"/>
  <c r="J62" i="9"/>
  <c r="E62" i="9"/>
  <c r="V62" i="9" s="1"/>
  <c r="R61" i="9"/>
  <c r="S61" i="9" s="1"/>
  <c r="M61" i="9"/>
  <c r="J61" i="9"/>
  <c r="E61" i="9"/>
  <c r="V61" i="9" s="1"/>
  <c r="R60" i="9"/>
  <c r="S60" i="9" s="1"/>
  <c r="M60" i="9"/>
  <c r="J60" i="9"/>
  <c r="E60" i="9"/>
  <c r="V59" i="9"/>
  <c r="U59" i="9"/>
  <c r="T59" i="9"/>
  <c r="R59" i="9"/>
  <c r="S59" i="9" s="1"/>
  <c r="M59" i="9"/>
  <c r="K59" i="9"/>
  <c r="J59" i="9"/>
  <c r="P59" i="9" s="1"/>
  <c r="E59" i="9"/>
  <c r="R58" i="9"/>
  <c r="S58" i="9" s="1"/>
  <c r="M58" i="9"/>
  <c r="V58" i="9" s="1"/>
  <c r="J58" i="9"/>
  <c r="E58" i="9"/>
  <c r="T58" i="9" s="1"/>
  <c r="R57" i="9"/>
  <c r="S57" i="9" s="1"/>
  <c r="M57" i="9"/>
  <c r="J57" i="9"/>
  <c r="E57" i="9"/>
  <c r="R56" i="9"/>
  <c r="S56" i="9" s="1"/>
  <c r="M56" i="9"/>
  <c r="V56" i="9" s="1"/>
  <c r="K56" i="9"/>
  <c r="J56" i="9"/>
  <c r="U56" i="9" s="1"/>
  <c r="E56" i="9"/>
  <c r="V55" i="9"/>
  <c r="U55" i="9"/>
  <c r="T55" i="9"/>
  <c r="S55" i="9"/>
  <c r="R55" i="9"/>
  <c r="M55" i="9"/>
  <c r="J55" i="9"/>
  <c r="E55" i="9"/>
  <c r="R54" i="9"/>
  <c r="S54" i="9" s="1"/>
  <c r="M54" i="9"/>
  <c r="J54" i="9"/>
  <c r="T54" i="9" s="1"/>
  <c r="E54" i="9"/>
  <c r="R53" i="9"/>
  <c r="S53" i="9" s="1"/>
  <c r="M53" i="9"/>
  <c r="V53" i="9" s="1"/>
  <c r="K53" i="9"/>
  <c r="J53" i="9"/>
  <c r="E53" i="9"/>
  <c r="R52" i="9"/>
  <c r="S52" i="9" s="1"/>
  <c r="M52" i="9"/>
  <c r="V52" i="9" s="1"/>
  <c r="J52" i="9"/>
  <c r="U52" i="9" s="1"/>
  <c r="E52" i="9"/>
  <c r="V51" i="9"/>
  <c r="T51" i="9"/>
  <c r="R51" i="9"/>
  <c r="S51" i="9" s="1"/>
  <c r="M51" i="9"/>
  <c r="J51" i="9"/>
  <c r="E51" i="9"/>
  <c r="P51" i="9" s="1"/>
  <c r="R50" i="9"/>
  <c r="S50" i="9" s="1"/>
  <c r="M50" i="9"/>
  <c r="V50" i="9" s="1"/>
  <c r="K50" i="9"/>
  <c r="J50" i="9"/>
  <c r="U50" i="9" s="1"/>
  <c r="E50" i="9"/>
  <c r="S49" i="9"/>
  <c r="R49" i="9"/>
  <c r="M49" i="9"/>
  <c r="J49" i="9"/>
  <c r="P49" i="9" s="1"/>
  <c r="S48" i="9"/>
  <c r="R48" i="9"/>
  <c r="M48" i="9"/>
  <c r="V48" i="9" s="1"/>
  <c r="J48" i="9"/>
  <c r="T47" i="9"/>
  <c r="R47" i="9"/>
  <c r="S47" i="9" s="1"/>
  <c r="M47" i="9"/>
  <c r="V47" i="9" s="1"/>
  <c r="K47" i="9"/>
  <c r="J47" i="9"/>
  <c r="R46" i="9"/>
  <c r="S46" i="9" s="1"/>
  <c r="M46" i="9"/>
  <c r="K46" i="9"/>
  <c r="J46" i="9"/>
  <c r="P46" i="9" s="1"/>
  <c r="V45" i="9"/>
  <c r="R45" i="9"/>
  <c r="S45" i="9" s="1"/>
  <c r="M45" i="9"/>
  <c r="J45" i="9"/>
  <c r="V44" i="9"/>
  <c r="R44" i="9"/>
  <c r="S44" i="9" s="1"/>
  <c r="M44" i="9"/>
  <c r="K44" i="9"/>
  <c r="J44" i="9"/>
  <c r="U44" i="9" s="1"/>
  <c r="R43" i="9"/>
  <c r="S43" i="9" s="1"/>
  <c r="M43" i="9"/>
  <c r="V43" i="9" s="1"/>
  <c r="K43" i="9"/>
  <c r="J43" i="9"/>
  <c r="T43" i="9" s="1"/>
  <c r="S42" i="9"/>
  <c r="R42" i="9"/>
  <c r="M42" i="9"/>
  <c r="J42" i="9"/>
  <c r="T41" i="9"/>
  <c r="S41" i="9"/>
  <c r="R41" i="9"/>
  <c r="M41" i="9"/>
  <c r="U41" i="9" s="1"/>
  <c r="J41" i="9"/>
  <c r="V40" i="9"/>
  <c r="R40" i="9"/>
  <c r="S40" i="9" s="1"/>
  <c r="M40" i="9"/>
  <c r="J40" i="9"/>
  <c r="P40" i="9" s="1"/>
  <c r="K40" i="9"/>
  <c r="T39" i="9"/>
  <c r="R39" i="9"/>
  <c r="S39" i="9" s="1"/>
  <c r="M39" i="9"/>
  <c r="V39" i="9" s="1"/>
  <c r="K39" i="9"/>
  <c r="J39" i="9"/>
  <c r="S38" i="9"/>
  <c r="R38" i="9"/>
  <c r="M38" i="9"/>
  <c r="V38" i="9" s="1"/>
  <c r="K38" i="9"/>
  <c r="J38" i="9"/>
  <c r="P38" i="9" s="1"/>
  <c r="R37" i="9"/>
  <c r="S37" i="9" s="1"/>
  <c r="M37" i="9"/>
  <c r="K37" i="9"/>
  <c r="J37" i="9"/>
  <c r="V37" i="9"/>
  <c r="V36" i="9"/>
  <c r="R36" i="9"/>
  <c r="S36" i="9" s="1"/>
  <c r="M36" i="9"/>
  <c r="U36" i="9" s="1"/>
  <c r="J36" i="9"/>
  <c r="S35" i="9"/>
  <c r="R35" i="9"/>
  <c r="M35" i="9"/>
  <c r="J35" i="9"/>
  <c r="P35" i="9"/>
  <c r="U34" i="9"/>
  <c r="T34" i="9"/>
  <c r="R34" i="9"/>
  <c r="S34" i="9" s="1"/>
  <c r="M34" i="9"/>
  <c r="V34" i="9" s="1"/>
  <c r="J34" i="9"/>
  <c r="K34" i="9"/>
  <c r="T33" i="9"/>
  <c r="R33" i="9"/>
  <c r="S33" i="9" s="1"/>
  <c r="M33" i="9"/>
  <c r="V33" i="9" s="1"/>
  <c r="K33" i="9"/>
  <c r="J33" i="9"/>
  <c r="S32" i="9"/>
  <c r="R32" i="9"/>
  <c r="M32" i="9"/>
  <c r="V32" i="9" s="1"/>
  <c r="K32" i="9"/>
  <c r="J32" i="9"/>
  <c r="T32" i="9" s="1"/>
  <c r="R31" i="9"/>
  <c r="S31" i="9" s="1"/>
  <c r="M31" i="9"/>
  <c r="K31" i="9"/>
  <c r="J31" i="9"/>
  <c r="V31" i="9"/>
  <c r="R30" i="9"/>
  <c r="S30" i="9" s="1"/>
  <c r="M30" i="9"/>
  <c r="V30" i="9" s="1"/>
  <c r="J30" i="9"/>
  <c r="U30" i="9" s="1"/>
  <c r="S29" i="9"/>
  <c r="R29" i="9"/>
  <c r="M29" i="9"/>
  <c r="J29" i="9"/>
  <c r="U29" i="9" s="1"/>
  <c r="P29" i="9"/>
  <c r="U28" i="9"/>
  <c r="T28" i="9"/>
  <c r="R28" i="9"/>
  <c r="S28" i="9" s="1"/>
  <c r="M28" i="9"/>
  <c r="V28" i="9" s="1"/>
  <c r="K28" i="9"/>
  <c r="J28" i="9"/>
  <c r="R27" i="9"/>
  <c r="S27" i="9" s="1"/>
  <c r="M27" i="9"/>
  <c r="V27" i="9" s="1"/>
  <c r="K27" i="9"/>
  <c r="J27" i="9"/>
  <c r="U27" i="9" s="1"/>
  <c r="R26" i="9"/>
  <c r="S26" i="9" s="1"/>
  <c r="M26" i="9"/>
  <c r="V26" i="9" s="1"/>
  <c r="K26" i="9"/>
  <c r="J26" i="9"/>
  <c r="Y25" i="9"/>
  <c r="X25" i="9"/>
  <c r="W25" i="9"/>
  <c r="R25" i="9"/>
  <c r="S25" i="9" s="1"/>
  <c r="M25" i="9"/>
  <c r="V25" i="9" s="1"/>
  <c r="K25" i="9"/>
  <c r="J25" i="9"/>
  <c r="U25" i="9" s="1"/>
  <c r="Y24" i="9"/>
  <c r="X24" i="9"/>
  <c r="W24" i="9"/>
  <c r="R24" i="9"/>
  <c r="S24" i="9" s="1"/>
  <c r="M24" i="9"/>
  <c r="V24" i="9" s="1"/>
  <c r="K24" i="9"/>
  <c r="J24" i="9"/>
  <c r="U24" i="9" s="1"/>
  <c r="Y23" i="9"/>
  <c r="X23" i="9"/>
  <c r="W23" i="9"/>
  <c r="R23" i="9"/>
  <c r="S23" i="9" s="1"/>
  <c r="M23" i="9"/>
  <c r="V23" i="9" s="1"/>
  <c r="K23" i="9"/>
  <c r="J23" i="9"/>
  <c r="Y22" i="9"/>
  <c r="X22" i="9"/>
  <c r="W22" i="9"/>
  <c r="R22" i="9"/>
  <c r="S22" i="9" s="1"/>
  <c r="M22" i="9"/>
  <c r="V22" i="9" s="1"/>
  <c r="K22" i="9"/>
  <c r="J22" i="9"/>
  <c r="Y21" i="9"/>
  <c r="X21" i="9"/>
  <c r="W21" i="9"/>
  <c r="R21" i="9"/>
  <c r="S21" i="9" s="1"/>
  <c r="M21" i="9"/>
  <c r="V21" i="9" s="1"/>
  <c r="K21" i="9"/>
  <c r="J21" i="9"/>
  <c r="U21" i="9" s="1"/>
  <c r="Y20" i="9"/>
  <c r="X20" i="9"/>
  <c r="W20" i="9"/>
  <c r="R20" i="9"/>
  <c r="S20" i="9" s="1"/>
  <c r="M20" i="9"/>
  <c r="V20" i="9" s="1"/>
  <c r="K20" i="9"/>
  <c r="J20" i="9"/>
  <c r="U20" i="9" s="1"/>
  <c r="Y19" i="9"/>
  <c r="X19" i="9"/>
  <c r="W19" i="9"/>
  <c r="R19" i="9"/>
  <c r="S19" i="9" s="1"/>
  <c r="M19" i="9"/>
  <c r="V19" i="9" s="1"/>
  <c r="K19" i="9"/>
  <c r="J19" i="9"/>
  <c r="U19" i="9" s="1"/>
  <c r="Y18" i="9"/>
  <c r="X18" i="9"/>
  <c r="W18" i="9"/>
  <c r="R18" i="9"/>
  <c r="S18" i="9" s="1"/>
  <c r="M18" i="9"/>
  <c r="V18" i="9" s="1"/>
  <c r="K18" i="9"/>
  <c r="J18" i="9"/>
  <c r="U18" i="9" s="1"/>
  <c r="Y17" i="9"/>
  <c r="X17" i="9"/>
  <c r="W17" i="9"/>
  <c r="R17" i="9"/>
  <c r="S17" i="9" s="1"/>
  <c r="M17" i="9"/>
  <c r="V17" i="9" s="1"/>
  <c r="K17" i="9"/>
  <c r="J17" i="9"/>
  <c r="Y16" i="9"/>
  <c r="X16" i="9"/>
  <c r="W16" i="9"/>
  <c r="R16" i="9"/>
  <c r="S16" i="9" s="1"/>
  <c r="M16" i="9"/>
  <c r="V16" i="9" s="1"/>
  <c r="K16" i="9"/>
  <c r="J16" i="9"/>
  <c r="Y15" i="9"/>
  <c r="X15" i="9"/>
  <c r="W15" i="9"/>
  <c r="R15" i="9"/>
  <c r="S15" i="9" s="1"/>
  <c r="M15" i="9"/>
  <c r="V15" i="9" s="1"/>
  <c r="K15" i="9"/>
  <c r="J15" i="9"/>
  <c r="Y14" i="9"/>
  <c r="X14" i="9"/>
  <c r="W14" i="9"/>
  <c r="R14" i="9"/>
  <c r="S14" i="9" s="1"/>
  <c r="M14" i="9"/>
  <c r="V14" i="9" s="1"/>
  <c r="K14" i="9"/>
  <c r="J14" i="9"/>
  <c r="Y13" i="9"/>
  <c r="X13" i="9"/>
  <c r="W13" i="9"/>
  <c r="R13" i="9"/>
  <c r="S13" i="9" s="1"/>
  <c r="M13" i="9"/>
  <c r="V13" i="9" s="1"/>
  <c r="K13" i="9"/>
  <c r="J13" i="9"/>
  <c r="U13" i="9" s="1"/>
  <c r="Y12" i="9"/>
  <c r="X12" i="9"/>
  <c r="W12" i="9"/>
  <c r="R12" i="9"/>
  <c r="S12" i="9" s="1"/>
  <c r="M12" i="9"/>
  <c r="V12" i="9" s="1"/>
  <c r="K12" i="9"/>
  <c r="J12" i="9"/>
  <c r="Y11" i="9"/>
  <c r="X11" i="9"/>
  <c r="W11" i="9"/>
  <c r="R11" i="9"/>
  <c r="S11" i="9" s="1"/>
  <c r="M11" i="9"/>
  <c r="V11" i="9" s="1"/>
  <c r="K11" i="9"/>
  <c r="J11" i="9"/>
  <c r="Y10" i="9"/>
  <c r="X10" i="9"/>
  <c r="W10" i="9"/>
  <c r="R10" i="9"/>
  <c r="S10" i="9" s="1"/>
  <c r="M10" i="9"/>
  <c r="V10" i="9" s="1"/>
  <c r="K10" i="9"/>
  <c r="J10" i="9"/>
  <c r="U10" i="9" s="1"/>
  <c r="Y9" i="9"/>
  <c r="X9" i="9"/>
  <c r="W9" i="9"/>
  <c r="R9" i="9"/>
  <c r="S9" i="9" s="1"/>
  <c r="M9" i="9"/>
  <c r="V9" i="9" s="1"/>
  <c r="K9" i="9"/>
  <c r="J9" i="9"/>
  <c r="U9" i="9" s="1"/>
  <c r="Y8" i="9"/>
  <c r="X8" i="9"/>
  <c r="W8" i="9"/>
  <c r="R8" i="9"/>
  <c r="S8" i="9" s="1"/>
  <c r="M8" i="9"/>
  <c r="V8" i="9" s="1"/>
  <c r="K8" i="9"/>
  <c r="J8" i="9"/>
  <c r="Y7" i="9"/>
  <c r="X7" i="9"/>
  <c r="W7" i="9"/>
  <c r="R7" i="9"/>
  <c r="S7" i="9" s="1"/>
  <c r="M7" i="9"/>
  <c r="V7" i="9" s="1"/>
  <c r="K7" i="9"/>
  <c r="J7" i="9"/>
  <c r="U7" i="9" s="1"/>
  <c r="Y6" i="9"/>
  <c r="X6" i="9"/>
  <c r="W6" i="9"/>
  <c r="R6" i="9"/>
  <c r="S6" i="9" s="1"/>
  <c r="M6" i="9"/>
  <c r="V6" i="9" s="1"/>
  <c r="K6" i="9"/>
  <c r="J6" i="9"/>
  <c r="U6" i="9" s="1"/>
  <c r="Y5" i="9"/>
  <c r="X5" i="9"/>
  <c r="W5" i="9"/>
  <c r="R5" i="9"/>
  <c r="S5" i="9" s="1"/>
  <c r="M5" i="9"/>
  <c r="V5" i="9" s="1"/>
  <c r="K5" i="9"/>
  <c r="J5" i="9"/>
  <c r="U5" i="9" s="1"/>
  <c r="R4" i="9"/>
  <c r="M4" i="9"/>
  <c r="P4" i="9" s="1"/>
  <c r="J4" i="9"/>
  <c r="E4" i="9"/>
  <c r="K4" i="9" s="1"/>
  <c r="U151" i="9" l="1"/>
  <c r="P130" i="9"/>
  <c r="U16" i="9"/>
  <c r="P41" i="9"/>
  <c r="U11" i="9"/>
  <c r="U23" i="9"/>
  <c r="P52" i="9"/>
  <c r="V54" i="9"/>
  <c r="K58" i="9"/>
  <c r="K62" i="9"/>
  <c r="P70" i="9"/>
  <c r="V72" i="9"/>
  <c r="K76" i="9"/>
  <c r="K80" i="9"/>
  <c r="P88" i="9"/>
  <c r="U91" i="9"/>
  <c r="U97" i="9"/>
  <c r="T115" i="9"/>
  <c r="V125" i="9"/>
  <c r="K130" i="9"/>
  <c r="V143" i="9"/>
  <c r="V145" i="9"/>
  <c r="K158" i="9"/>
  <c r="K166" i="9"/>
  <c r="K128" i="9"/>
  <c r="U35" i="9"/>
  <c r="P48" i="9"/>
  <c r="P62" i="9"/>
  <c r="P80" i="9"/>
  <c r="T96" i="9"/>
  <c r="P116" i="9"/>
  <c r="V128" i="9"/>
  <c r="P133" i="9"/>
  <c r="P157" i="9"/>
  <c r="U161" i="9"/>
  <c r="K64" i="9"/>
  <c r="K82" i="9"/>
  <c r="K106" i="9"/>
  <c r="K112" i="9"/>
  <c r="K116" i="9"/>
  <c r="U118" i="9"/>
  <c r="U133" i="9"/>
  <c r="T141" i="9"/>
  <c r="P144" i="9"/>
  <c r="K161" i="9"/>
  <c r="K163" i="9"/>
  <c r="U164" i="9"/>
  <c r="U8" i="9"/>
  <c r="U15" i="9"/>
  <c r="U38" i="9"/>
  <c r="T62" i="9"/>
  <c r="T80" i="9"/>
  <c r="K92" i="9"/>
  <c r="T94" i="9"/>
  <c r="K98" i="9"/>
  <c r="K104" i="9"/>
  <c r="V106" i="9"/>
  <c r="V112" i="9"/>
  <c r="P122" i="9"/>
  <c r="K133" i="9"/>
  <c r="U146" i="9"/>
  <c r="P151" i="9"/>
  <c r="U155" i="9"/>
  <c r="K157" i="9"/>
  <c r="V161" i="9"/>
  <c r="V163" i="9"/>
  <c r="U22" i="9"/>
  <c r="T27" i="9"/>
  <c r="U62" i="9"/>
  <c r="T66" i="9"/>
  <c r="U80" i="9"/>
  <c r="T84" i="9"/>
  <c r="T100" i="9"/>
  <c r="T110" i="9"/>
  <c r="P161" i="9"/>
  <c r="P28" i="9"/>
  <c r="T29" i="9"/>
  <c r="U32" i="9"/>
  <c r="P44" i="9"/>
  <c r="T61" i="9"/>
  <c r="T79" i="9"/>
  <c r="U100" i="9"/>
  <c r="P103" i="9"/>
  <c r="U110" i="9"/>
  <c r="T116" i="9"/>
  <c r="T122" i="9"/>
  <c r="U127" i="9"/>
  <c r="T135" i="9"/>
  <c r="U140" i="9"/>
  <c r="K167" i="9"/>
  <c r="U17" i="9"/>
  <c r="U12" i="9"/>
  <c r="P34" i="9"/>
  <c r="K61" i="9"/>
  <c r="P67" i="9"/>
  <c r="K79" i="9"/>
  <c r="P85" i="9"/>
  <c r="V100" i="9"/>
  <c r="U104" i="9"/>
  <c r="U116" i="9"/>
  <c r="K125" i="9"/>
  <c r="K127" i="9"/>
  <c r="T163" i="9"/>
  <c r="V167" i="9"/>
  <c r="T40" i="9"/>
  <c r="T44" i="9"/>
  <c r="U53" i="9"/>
  <c r="U71" i="9"/>
  <c r="U89" i="9"/>
  <c r="U95" i="9"/>
  <c r="K103" i="9"/>
  <c r="U113" i="9"/>
  <c r="U119" i="9"/>
  <c r="U121" i="9"/>
  <c r="V127" i="9"/>
  <c r="V140" i="9"/>
  <c r="T157" i="9"/>
  <c r="U163" i="9"/>
  <c r="U14" i="9"/>
  <c r="U26" i="9"/>
  <c r="U40" i="9"/>
  <c r="U101" i="9"/>
  <c r="V109" i="9"/>
  <c r="V115" i="9"/>
  <c r="P145" i="9"/>
  <c r="U157" i="9"/>
  <c r="T35" i="9"/>
  <c r="U93" i="9"/>
  <c r="P93" i="9"/>
  <c r="K93" i="9"/>
  <c r="K102" i="9"/>
  <c r="U102" i="9"/>
  <c r="V154" i="9"/>
  <c r="T154" i="9"/>
  <c r="P154" i="9"/>
  <c r="V159" i="9"/>
  <c r="U159" i="9"/>
  <c r="T159" i="9"/>
  <c r="P159" i="9"/>
  <c r="K159" i="9"/>
  <c r="P33" i="9"/>
  <c r="P39" i="9"/>
  <c r="T48" i="9"/>
  <c r="U57" i="9"/>
  <c r="K57" i="9"/>
  <c r="U75" i="9"/>
  <c r="K75" i="9"/>
  <c r="P90" i="9"/>
  <c r="U99" i="9"/>
  <c r="P99" i="9"/>
  <c r="K99" i="9"/>
  <c r="K108" i="9"/>
  <c r="U108" i="9"/>
  <c r="P128" i="9"/>
  <c r="P131" i="9"/>
  <c r="U149" i="9"/>
  <c r="K156" i="9"/>
  <c r="U156" i="9"/>
  <c r="T156" i="9"/>
  <c r="P27" i="9"/>
  <c r="V29" i="9"/>
  <c r="V35" i="9"/>
  <c r="V41" i="9"/>
  <c r="P47" i="9"/>
  <c r="P54" i="9"/>
  <c r="P65" i="9"/>
  <c r="P72" i="9"/>
  <c r="P83" i="9"/>
  <c r="P96" i="9"/>
  <c r="U105" i="9"/>
  <c r="P105" i="9"/>
  <c r="K105" i="9"/>
  <c r="K114" i="9"/>
  <c r="U114" i="9"/>
  <c r="K124" i="9"/>
  <c r="P134" i="9"/>
  <c r="P136" i="9"/>
  <c r="P137" i="9"/>
  <c r="P139" i="9"/>
  <c r="K154" i="9"/>
  <c r="P32" i="9"/>
  <c r="K42" i="9"/>
  <c r="U42" i="9"/>
  <c r="K60" i="9"/>
  <c r="U60" i="9"/>
  <c r="K78" i="9"/>
  <c r="U78" i="9"/>
  <c r="P102" i="9"/>
  <c r="U106" i="9"/>
  <c r="U111" i="9"/>
  <c r="P111" i="9"/>
  <c r="K111" i="9"/>
  <c r="K120" i="9"/>
  <c r="U120" i="9"/>
  <c r="P140" i="9"/>
  <c r="P143" i="9"/>
  <c r="P152" i="9"/>
  <c r="P50" i="9"/>
  <c r="P57" i="9"/>
  <c r="U58" i="9"/>
  <c r="P68" i="9"/>
  <c r="P75" i="9"/>
  <c r="U76" i="9"/>
  <c r="P86" i="9"/>
  <c r="P108" i="9"/>
  <c r="U109" i="9"/>
  <c r="U112" i="9"/>
  <c r="U117" i="9"/>
  <c r="P117" i="9"/>
  <c r="K117" i="9"/>
  <c r="T118" i="9"/>
  <c r="K126" i="9"/>
  <c r="U126" i="9"/>
  <c r="U128" i="9"/>
  <c r="K136" i="9"/>
  <c r="P146" i="9"/>
  <c r="P148" i="9"/>
  <c r="P149" i="9"/>
  <c r="P156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K30" i="9"/>
  <c r="P31" i="9"/>
  <c r="U33" i="9"/>
  <c r="K36" i="9"/>
  <c r="P37" i="9"/>
  <c r="U39" i="9"/>
  <c r="U45" i="9"/>
  <c r="K45" i="9"/>
  <c r="U47" i="9"/>
  <c r="K49" i="9"/>
  <c r="U63" i="9"/>
  <c r="K63" i="9"/>
  <c r="U65" i="9"/>
  <c r="K67" i="9"/>
  <c r="U81" i="9"/>
  <c r="K81" i="9"/>
  <c r="U83" i="9"/>
  <c r="K85" i="9"/>
  <c r="T93" i="9"/>
  <c r="U115" i="9"/>
  <c r="T121" i="9"/>
  <c r="U123" i="9"/>
  <c r="P123" i="9"/>
  <c r="K123" i="9"/>
  <c r="T124" i="9"/>
  <c r="K132" i="9"/>
  <c r="U132" i="9"/>
  <c r="U134" i="9"/>
  <c r="T140" i="9"/>
  <c r="K142" i="9"/>
  <c r="T143" i="9"/>
  <c r="U152" i="9"/>
  <c r="U154" i="9"/>
  <c r="V160" i="9"/>
  <c r="T160" i="9"/>
  <c r="P160" i="9"/>
  <c r="V165" i="9"/>
  <c r="U165" i="9"/>
  <c r="T165" i="9"/>
  <c r="P165" i="9"/>
  <c r="K165" i="9"/>
  <c r="T38" i="9"/>
  <c r="P42" i="9"/>
  <c r="U43" i="9"/>
  <c r="T50" i="9"/>
  <c r="P53" i="9"/>
  <c r="P60" i="9"/>
  <c r="U61" i="9"/>
  <c r="T68" i="9"/>
  <c r="P71" i="9"/>
  <c r="P78" i="9"/>
  <c r="U79" i="9"/>
  <c r="T86" i="9"/>
  <c r="P89" i="9"/>
  <c r="P91" i="9"/>
  <c r="V93" i="9"/>
  <c r="T99" i="9"/>
  <c r="T102" i="9"/>
  <c r="U107" i="9"/>
  <c r="P120" i="9"/>
  <c r="U124" i="9"/>
  <c r="T127" i="9"/>
  <c r="U129" i="9"/>
  <c r="P129" i="9"/>
  <c r="K129" i="9"/>
  <c r="T130" i="9"/>
  <c r="K138" i="9"/>
  <c r="U138" i="9"/>
  <c r="T146" i="9"/>
  <c r="K148" i="9"/>
  <c r="T149" i="9"/>
  <c r="K162" i="9"/>
  <c r="U162" i="9"/>
  <c r="T162" i="9"/>
  <c r="K29" i="9"/>
  <c r="P30" i="9"/>
  <c r="K35" i="9"/>
  <c r="P36" i="9"/>
  <c r="K41" i="9"/>
  <c r="T46" i="9"/>
  <c r="K48" i="9"/>
  <c r="U48" i="9"/>
  <c r="K52" i="9"/>
  <c r="P55" i="9"/>
  <c r="T57" i="9"/>
  <c r="T64" i="9"/>
  <c r="K66" i="9"/>
  <c r="U66" i="9"/>
  <c r="K70" i="9"/>
  <c r="P73" i="9"/>
  <c r="T75" i="9"/>
  <c r="T82" i="9"/>
  <c r="K84" i="9"/>
  <c r="U84" i="9"/>
  <c r="K88" i="9"/>
  <c r="P92" i="9"/>
  <c r="P94" i="9"/>
  <c r="P95" i="9"/>
  <c r="P97" i="9"/>
  <c r="V99" i="9"/>
  <c r="V102" i="9"/>
  <c r="T105" i="9"/>
  <c r="T108" i="9"/>
  <c r="V124" i="9"/>
  <c r="P126" i="9"/>
  <c r="U130" i="9"/>
  <c r="T133" i="9"/>
  <c r="U135" i="9"/>
  <c r="P135" i="9"/>
  <c r="K135" i="9"/>
  <c r="T136" i="9"/>
  <c r="K144" i="9"/>
  <c r="U144" i="9"/>
  <c r="V153" i="9"/>
  <c r="U153" i="9"/>
  <c r="T153" i="9"/>
  <c r="P153" i="9"/>
  <c r="K153" i="9"/>
  <c r="V156" i="9"/>
  <c r="K160" i="9"/>
  <c r="T6" i="9"/>
  <c r="T8" i="9"/>
  <c r="T10" i="9"/>
  <c r="T12" i="9"/>
  <c r="T13" i="9"/>
  <c r="T14" i="9"/>
  <c r="T15" i="9"/>
  <c r="T17" i="9"/>
  <c r="T18" i="9"/>
  <c r="T19" i="9"/>
  <c r="T20" i="9"/>
  <c r="T21" i="9"/>
  <c r="T22" i="9"/>
  <c r="T23" i="9"/>
  <c r="T24" i="9"/>
  <c r="T25" i="9"/>
  <c r="T26" i="9"/>
  <c r="T31" i="9"/>
  <c r="T37" i="9"/>
  <c r="T53" i="9"/>
  <c r="P63" i="9"/>
  <c r="U64" i="9"/>
  <c r="T71" i="9"/>
  <c r="P74" i="9"/>
  <c r="V75" i="9"/>
  <c r="P81" i="9"/>
  <c r="U82" i="9"/>
  <c r="T89" i="9"/>
  <c r="P98" i="9"/>
  <c r="P101" i="9"/>
  <c r="V105" i="9"/>
  <c r="V108" i="9"/>
  <c r="T111" i="9"/>
  <c r="T114" i="9"/>
  <c r="V130" i="9"/>
  <c r="P132" i="9"/>
  <c r="U136" i="9"/>
  <c r="T139" i="9"/>
  <c r="U141" i="9"/>
  <c r="P141" i="9"/>
  <c r="K141" i="9"/>
  <c r="T142" i="9"/>
  <c r="K150" i="9"/>
  <c r="U150" i="9"/>
  <c r="T150" i="9"/>
  <c r="P158" i="9"/>
  <c r="P167" i="9"/>
  <c r="T5" i="9"/>
  <c r="T7" i="9"/>
  <c r="T9" i="9"/>
  <c r="T11" i="9"/>
  <c r="T16" i="9"/>
  <c r="P45" i="9"/>
  <c r="U46" i="9"/>
  <c r="P56" i="9"/>
  <c r="U31" i="9"/>
  <c r="U37" i="9"/>
  <c r="T42" i="9"/>
  <c r="V46" i="9"/>
  <c r="T49" i="9"/>
  <c r="U51" i="9"/>
  <c r="K51" i="9"/>
  <c r="K55" i="9"/>
  <c r="P58" i="9"/>
  <c r="T60" i="9"/>
  <c r="V64" i="9"/>
  <c r="T67" i="9"/>
  <c r="U69" i="9"/>
  <c r="K69" i="9"/>
  <c r="K73" i="9"/>
  <c r="P76" i="9"/>
  <c r="T78" i="9"/>
  <c r="V82" i="9"/>
  <c r="T85" i="9"/>
  <c r="U87" i="9"/>
  <c r="K87" i="9"/>
  <c r="T92" i="9"/>
  <c r="K94" i="9"/>
  <c r="T95" i="9"/>
  <c r="P104" i="9"/>
  <c r="P106" i="9"/>
  <c r="P107" i="9"/>
  <c r="P109" i="9"/>
  <c r="V111" i="9"/>
  <c r="V114" i="9"/>
  <c r="T117" i="9"/>
  <c r="T120" i="9"/>
  <c r="U125" i="9"/>
  <c r="V136" i="9"/>
  <c r="P138" i="9"/>
  <c r="U142" i="9"/>
  <c r="T145" i="9"/>
  <c r="U147" i="9"/>
  <c r="P147" i="9"/>
  <c r="K147" i="9"/>
  <c r="T148" i="9"/>
  <c r="P162" i="9"/>
  <c r="V57" i="9"/>
  <c r="T30" i="9"/>
  <c r="T36" i="9"/>
  <c r="V42" i="9"/>
  <c r="U49" i="9"/>
  <c r="T56" i="9"/>
  <c r="V60" i="9"/>
  <c r="U67" i="9"/>
  <c r="T74" i="9"/>
  <c r="V78" i="9"/>
  <c r="U85" i="9"/>
  <c r="K90" i="9"/>
  <c r="U90" i="9"/>
  <c r="T98" i="9"/>
  <c r="K100" i="9"/>
  <c r="T101" i="9"/>
  <c r="P112" i="9"/>
  <c r="P113" i="9"/>
  <c r="P115" i="9"/>
  <c r="V117" i="9"/>
  <c r="V120" i="9"/>
  <c r="T123" i="9"/>
  <c r="T126" i="9"/>
  <c r="U131" i="9"/>
  <c r="V142" i="9"/>
  <c r="U148" i="9"/>
  <c r="U158" i="9"/>
  <c r="U160" i="9"/>
  <c r="V166" i="9"/>
  <c r="T166" i="9"/>
  <c r="P166" i="9"/>
  <c r="P43" i="9"/>
  <c r="T45" i="9"/>
  <c r="V49" i="9"/>
  <c r="T52" i="9"/>
  <c r="K54" i="9"/>
  <c r="U54" i="9"/>
  <c r="P61" i="9"/>
  <c r="T63" i="9"/>
  <c r="V67" i="9"/>
  <c r="T70" i="9"/>
  <c r="K72" i="9"/>
  <c r="U72" i="9"/>
  <c r="P79" i="9"/>
  <c r="T81" i="9"/>
  <c r="V85" i="9"/>
  <c r="T88" i="9"/>
  <c r="K96" i="9"/>
  <c r="U96" i="9"/>
  <c r="P118" i="9"/>
  <c r="P119" i="9"/>
  <c r="P121" i="9"/>
  <c r="V123" i="9"/>
  <c r="V126" i="9"/>
  <c r="T129" i="9"/>
  <c r="T132" i="9"/>
  <c r="U137" i="9"/>
  <c r="V148" i="9"/>
  <c r="P150" i="9"/>
  <c r="K168" i="9"/>
  <c r="V168" i="9"/>
  <c r="U168" i="9"/>
  <c r="T168" i="9"/>
  <c r="C30" i="4" l="1"/>
  <c r="C31" i="4" s="1"/>
</calcChain>
</file>

<file path=xl/sharedStrings.xml><?xml version="1.0" encoding="utf-8"?>
<sst xmlns="http://schemas.openxmlformats.org/spreadsheetml/2006/main" count="790" uniqueCount="405">
  <si>
    <t>LUMINARIAS DO PROJETO — Adicione novas linhas na tabela para incluir luminarias</t>
  </si>
  <si>
    <t>DESCRICAO</t>
  </si>
  <si>
    <t>FLUXO (lm)</t>
  </si>
  <si>
    <t>TIPO</t>
  </si>
  <si>
    <t>POTENCIA (W)</t>
  </si>
  <si>
    <t>EFICACIA (lm/W)</t>
  </si>
  <si>
    <t>Tubular fluorescente T5 14W</t>
  </si>
  <si>
    <t>Fluorescente</t>
  </si>
  <si>
    <t>Tubular fluorescente T5 28W</t>
  </si>
  <si>
    <t>Vapor metalico 35W</t>
  </si>
  <si>
    <t>Vapor metalico</t>
  </si>
  <si>
    <t>Vapor metalico 70W</t>
  </si>
  <si>
    <t>Vapor metalico 150W</t>
  </si>
  <si>
    <t>Vapor metalico 250W</t>
  </si>
  <si>
    <t>Vapor metalico 400W</t>
  </si>
  <si>
    <t>Placa LED 10W</t>
  </si>
  <si>
    <t>Placa LED embutir</t>
  </si>
  <si>
    <t>Placa LED 14W</t>
  </si>
  <si>
    <t>Placa LED 20W</t>
  </si>
  <si>
    <t>Placa LED 32W</t>
  </si>
  <si>
    <t>Placa LED 40W</t>
  </si>
  <si>
    <t>Placa LED 50W</t>
  </si>
  <si>
    <t>Plafon Embutir Retangular 2x20W (LED)</t>
  </si>
  <si>
    <t>Luminaria de embutir</t>
  </si>
  <si>
    <t>Plafon de Sobrepor LED 12W</t>
  </si>
  <si>
    <t>Plafon LED sobrepor</t>
  </si>
  <si>
    <t>Refletor LED 50W Aluminio</t>
  </si>
  <si>
    <t>Refletor externo</t>
  </si>
  <si>
    <t>Luminaria Publica 150W (Philips/G-Light)</t>
  </si>
  <si>
    <t>Iluminacao publica</t>
  </si>
  <si>
    <t>Luminaria Publica 250W (Philips BGP323)</t>
  </si>
  <si>
    <t>ESTUDO DE CARGAS — LUMINOTECNICO</t>
  </si>
  <si>
    <t>AMBIENTE</t>
  </si>
  <si>
    <t>ATIVIDADE NBR</t>
  </si>
  <si>
    <t>AREA</t>
  </si>
  <si>
    <t>COMPRIMENTO</t>
  </si>
  <si>
    <t>LARGURA</t>
  </si>
  <si>
    <t>ALTURA LUMINARIA</t>
  </si>
  <si>
    <t>ILUMINANCIA</t>
  </si>
  <si>
    <t>INDICE DO LOCAL</t>
  </si>
  <si>
    <t>LUMINARIA</t>
  </si>
  <si>
    <t>FLUXO LUMINOSO</t>
  </si>
  <si>
    <t>FU</t>
  </si>
  <si>
    <t>FM</t>
  </si>
  <si>
    <t>N CALC</t>
  </si>
  <si>
    <t>N ADOTADO</t>
  </si>
  <si>
    <t>POTENCIA</t>
  </si>
  <si>
    <t>CARGA ILUM</t>
  </si>
  <si>
    <t>ANALISE LUX</t>
  </si>
  <si>
    <t>ANALISE LUMINARIAS</t>
  </si>
  <si>
    <t>LUX REAL</t>
  </si>
  <si>
    <t>8995-1 / 5413</t>
  </si>
  <si>
    <t>m2</t>
  </si>
  <si>
    <t>m</t>
  </si>
  <si>
    <t>lux (NBR)</t>
  </si>
  <si>
    <t>K</t>
  </si>
  <si>
    <t>selecione</t>
  </si>
  <si>
    <t>lm</t>
  </si>
  <si>
    <t>fat. utilizacao</t>
  </si>
  <si>
    <t>fat. manutencao</t>
  </si>
  <si>
    <t>luminarias</t>
  </si>
  <si>
    <t>W/lum</t>
  </si>
  <si>
    <t>W</t>
  </si>
  <si>
    <t>OK/INSUF/ACIMA</t>
  </si>
  <si>
    <t>ajuste</t>
  </si>
  <si>
    <t>lux adotado</t>
  </si>
  <si>
    <t>TABELA NBR — ILUMINANCIA DE AMBIENTES (NBR 8995-1:2013 + NBR 5413:1992)</t>
  </si>
  <si>
    <t>Referencia para dropdown da aba AMBIENTES. Azul=8995-1 (Em unico). Verde=5413 (min/MED/max).</t>
  </si>
  <si>
    <t>NORMA</t>
  </si>
  <si>
    <t>GRUPO</t>
  </si>
  <si>
    <t>ATIVIDADE / AMBIENTE</t>
  </si>
  <si>
    <t>Em MIN</t>
  </si>
  <si>
    <t>Em MED</t>
  </si>
  <si>
    <t>Em MAX</t>
  </si>
  <si>
    <t>NBR 8995-1:2013 — Iluminancia Mantida (Em unico)</t>
  </si>
  <si>
    <t>1. Areas gerais</t>
  </si>
  <si>
    <t>NBR 8995-1</t>
  </si>
  <si>
    <t>Saguao de entrada</t>
  </si>
  <si>
    <t>Sala de espera</t>
  </si>
  <si>
    <t>Circulacao e corredores</t>
  </si>
  <si>
    <t>Escadas e escadas rolantes</t>
  </si>
  <si>
    <t>Rampas de carregamento</t>
  </si>
  <si>
    <t>Refeitorio / Cantinas</t>
  </si>
  <si>
    <t>Salas de descanso</t>
  </si>
  <si>
    <t>Salas para exercicios fisicos</t>
  </si>
  <si>
    <t>Vestiarios, banheiros, toaletes</t>
  </si>
  <si>
    <t>Enfermaria</t>
  </si>
  <si>
    <t>Salas para atendimento medico</t>
  </si>
  <si>
    <t>Deposito, estoques, camara fria</t>
  </si>
  <si>
    <t>Expedicao</t>
  </si>
  <si>
    <t>Estacao de controle</t>
  </si>
  <si>
    <t>22. Escritorios</t>
  </si>
  <si>
    <t>Arquivamento, copia, circulacao</t>
  </si>
  <si>
    <t>Escrever, teclar, ler, processar dados</t>
  </si>
  <si>
    <t>Desenho tecnico</t>
  </si>
  <si>
    <t>Estacoes CAD</t>
  </si>
  <si>
    <t>Salas de reuniao e conferencia</t>
  </si>
  <si>
    <t>Recepcao escritorio</t>
  </si>
  <si>
    <t>Arquivos escritorio</t>
  </si>
  <si>
    <t>23. Varejo</t>
  </si>
  <si>
    <t>Area de vendas pequena</t>
  </si>
  <si>
    <t>Area de vendas grande</t>
  </si>
  <si>
    <t>Area da caixa registradora</t>
  </si>
  <si>
    <t>24. Restaurantes/Hoteis</t>
  </si>
  <si>
    <t>Recepcao / caixa / portaria hotel</t>
  </si>
  <si>
    <t>Cozinha hotel</t>
  </si>
  <si>
    <t>Restaurante / sala de jantar</t>
  </si>
  <si>
    <t>Salas de conferencias hotel</t>
  </si>
  <si>
    <t>Corredores hotel</t>
  </si>
  <si>
    <t>25. Entretenimento</t>
  </si>
  <si>
    <t>Teatros e salas de concerto</t>
  </si>
  <si>
    <t>Salas de ensaio / camarins</t>
  </si>
  <si>
    <t>Museus (geral)</t>
  </si>
  <si>
    <t>26. Bibliotecas</t>
  </si>
  <si>
    <t>Estantes biblioteca</t>
  </si>
  <si>
    <t>Area de leitura biblioteca</t>
  </si>
  <si>
    <t>27. Estacionamentos</t>
  </si>
  <si>
    <t>Rampas entrada/saida (dia)</t>
  </si>
  <si>
    <t>Rampas entrada/saida (noite)</t>
  </si>
  <si>
    <t>Pistas de trafego</t>
  </si>
  <si>
    <t>Vaga de estacionamento</t>
  </si>
  <si>
    <t>Guiche estacionamento</t>
  </si>
  <si>
    <t>28. Educacional</t>
  </si>
  <si>
    <t>Brinquedoteca / Bercario</t>
  </si>
  <si>
    <t>Salas de aula</t>
  </si>
  <si>
    <t>Sala de leitura escola</t>
  </si>
  <si>
    <t>Laboratorio escolar</t>
  </si>
  <si>
    <t>Sala de desenho tecnico escola</t>
  </si>
  <si>
    <t>Salas dos professores</t>
  </si>
  <si>
    <t>Salas de esportes / ginasios</t>
  </si>
  <si>
    <t>29. Assist. Medica</t>
  </si>
  <si>
    <t>Salas de espera medica</t>
  </si>
  <si>
    <t>Corredores medicos (dia)</t>
  </si>
  <si>
    <t>Escritorio dos funcionarios medicos</t>
  </si>
  <si>
    <t>Enfermarias iluminacao geral</t>
  </si>
  <si>
    <t>Exames e tratamento</t>
  </si>
  <si>
    <t>Sala de exames em geral</t>
  </si>
  <si>
    <t>Sala de cirurgia</t>
  </si>
  <si>
    <t>UTI iluminacao geral</t>
  </si>
  <si>
    <t>Salas pre-operatorias</t>
  </si>
  <si>
    <t>Salas de esterilizacao</t>
  </si>
  <si>
    <t>30. Aeroportos</t>
  </si>
  <si>
    <t>Saguoes embarque e desembarque</t>
  </si>
  <si>
    <t>Balcao de informacoes / check-in</t>
  </si>
  <si>
    <t>Alfandega / passaporte</t>
  </si>
  <si>
    <t>Salas de espera aeroporto</t>
  </si>
  <si>
    <t>16. Subestacoes</t>
  </si>
  <si>
    <t>Sala de maquinas / subestacao</t>
  </si>
  <si>
    <t>Quadros de distribuicao eletrica</t>
  </si>
  <si>
    <t>NBR 5413:1992 — Iluminancia por Faixa (min / MED / max)</t>
  </si>
  <si>
    <t>5.3.2 Auditorios</t>
  </si>
  <si>
    <t>NBR 5413</t>
  </si>
  <si>
    <t>Tribuna auditorio</t>
  </si>
  <si>
    <t>Plateia auditorio</t>
  </si>
  <si>
    <t>Sala de espera auditorio</t>
  </si>
  <si>
    <t>Bilheterias</t>
  </si>
  <si>
    <t>5.3.3 Bancos</t>
  </si>
  <si>
    <t>Atendimento ao publico banco</t>
  </si>
  <si>
    <t>Salas de gerentes banco</t>
  </si>
  <si>
    <t>Salas de recepcao banco</t>
  </si>
  <si>
    <t>Salas de conferencias banco</t>
  </si>
  <si>
    <t>Guiches banco</t>
  </si>
  <si>
    <t>Arquivos banco</t>
  </si>
  <si>
    <t>Saguao banco</t>
  </si>
  <si>
    <t>5.3.5 Bibliotecas</t>
  </si>
  <si>
    <t>Sala de leitura 5413</t>
  </si>
  <si>
    <t>Recinto das estantes 5413</t>
  </si>
  <si>
    <t>5.3.10 Corredores</t>
  </si>
  <si>
    <t>Corredores e escadas 5413</t>
  </si>
  <si>
    <t>5.3.13 Escolas</t>
  </si>
  <si>
    <t>Salas de aulas 5413</t>
  </si>
  <si>
    <t>Quadros negros</t>
  </si>
  <si>
    <t>Laboratorios geral 5413</t>
  </si>
  <si>
    <t>Sala de desenho escola 5413</t>
  </si>
  <si>
    <t>Salas de educacao fisica 5413</t>
  </si>
  <si>
    <t>5.3.14 Escritorios</t>
  </si>
  <si>
    <t>Registros e cartografia</t>
  </si>
  <si>
    <t>Desenho, engenharia e arquitetura</t>
  </si>
  <si>
    <t>Desenho decorativo e esboco</t>
  </si>
  <si>
    <t>5.3.26 Garagens</t>
  </si>
  <si>
    <t>Estacionamento interno 5413</t>
  </si>
  <si>
    <t>Oficinas garagem</t>
  </si>
  <si>
    <t>5.3.28 Hospitais</t>
  </si>
  <si>
    <t>Sala dos medicos geral 5413</t>
  </si>
  <si>
    <t>Farmacia geral 5413</t>
  </si>
  <si>
    <t>Banheiros hospital 5413</t>
  </si>
  <si>
    <t>Pronto-socorro geral</t>
  </si>
  <si>
    <t>Corredores hospital 5413</t>
  </si>
  <si>
    <t>Sala de operacao geral 5413</t>
  </si>
  <si>
    <t>Quartos particulares hospital</t>
  </si>
  <si>
    <t>5.3.29 Hoteis</t>
  </si>
  <si>
    <t>Banheiros hotel 5413</t>
  </si>
  <si>
    <t>Corredores hotel 5413</t>
  </si>
  <si>
    <t>Cozinha geral hotel 5413</t>
  </si>
  <si>
    <t>Restaurantes 5413</t>
  </si>
  <si>
    <t>Portaria e recepcao hotel 5413</t>
  </si>
  <si>
    <t>5.3.56 Lavatorios</t>
  </si>
  <si>
    <t>Lavatorios geral</t>
  </si>
  <si>
    <t>5.3.57 Armazenamento</t>
  </si>
  <si>
    <t>Armazens gerais uso eventual</t>
  </si>
  <si>
    <t>Armazens volumes grandes</t>
  </si>
  <si>
    <t>Armazens volumes pequenos</t>
  </si>
  <si>
    <t>5.3.58 Lojas</t>
  </si>
  <si>
    <t>Interior loja artigos diversos</t>
  </si>
  <si>
    <t>5.3.61 Museus</t>
  </si>
  <si>
    <t>Museus geral 5413</t>
  </si>
  <si>
    <t>Esculturas e objetos museu</t>
  </si>
  <si>
    <t>5.3.65 Residencias</t>
  </si>
  <si>
    <t>Salas de estar geral</t>
  </si>
  <si>
    <t>Cozinhas geral residencia</t>
  </si>
  <si>
    <t>Quartos de dormir geral</t>
  </si>
  <si>
    <t>Hall, escadas, garagens residencia</t>
  </si>
  <si>
    <t>Banheiros residencia</t>
  </si>
  <si>
    <t>CONSULTA RAPIDA — LUMINOTECNICO</t>
  </si>
  <si>
    <t>BLOCO 1 — FATOR DE MANUTENCAO (FM)</t>
  </si>
  <si>
    <t>TIPO DE AMBIENTE</t>
  </si>
  <si>
    <t>Limpo</t>
  </si>
  <si>
    <t>Manutencao regular, pouca poeira</t>
  </si>
  <si>
    <t>Medio</t>
  </si>
  <si>
    <t>Manutencao periodica — uso geral</t>
  </si>
  <si>
    <t>Sujo</t>
  </si>
  <si>
    <t>Manutencao irregular, ambientes industriais</t>
  </si>
  <si>
    <t>BLOCO 2 — FATOR DE UTILIZACAO (FU) — Estimativa por tipo de ambiente</t>
  </si>
  <si>
    <t>FU ESTIMADO</t>
  </si>
  <si>
    <t>OBSERVACAO</t>
  </si>
  <si>
    <t>Escritorio / sala comum</t>
  </si>
  <si>
    <t>Teto branco, paredes claras</t>
  </si>
  <si>
    <t>Corredor / circulacao</t>
  </si>
  <si>
    <t>Paredes medias, teto branco</t>
  </si>
  <si>
    <t>Deposito / almoxarifado</t>
  </si>
  <si>
    <t>Paredes e teto medios/escuros</t>
  </si>
  <si>
    <t>Galpao / area industrial</t>
  </si>
  <si>
    <t>Po e sujeira reduzem reflexao</t>
  </si>
  <si>
    <t>Banheiro / lavatório</t>
  </si>
  <si>
    <t>Azulejo reflete bem</t>
  </si>
  <si>
    <t>Sala de reuniao / auditorio</t>
  </si>
  <si>
    <t>Teto e paredes medios</t>
  </si>
  <si>
    <t>Garagem / estacionamento</t>
  </si>
  <si>
    <t>Teto baixo, concreto escuro</t>
  </si>
  <si>
    <t>BLOCO 3 — SELECAO DE ILUMINANCIA POR PESO (NBR 5413 item 5.2)</t>
  </si>
  <si>
    <t>Escolha um peso (-1, 0 ou +1) para cada fator. Some os tres pesos. Soma -2 ou -3 = usar Em MINIMA. Soma +2 ou +3 = usar Em MAXIMA. Demais = Em MEDIA.</t>
  </si>
  <si>
    <t>FATOR</t>
  </si>
  <si>
    <t>-1 (peso -1)</t>
  </si>
  <si>
    <t>0 (peso 0)</t>
  </si>
  <si>
    <t>+1 (peso +1)</t>
  </si>
  <si>
    <t>Idade do observador</t>
  </si>
  <si>
    <t>Inferior a 40 anos</t>
  </si>
  <si>
    <t>40 a 55 anos</t>
  </si>
  <si>
    <t>Superior a 55 anos</t>
  </si>
  <si>
    <t>Velocidade e precisao</t>
  </si>
  <si>
    <t>Sem importancia</t>
  </si>
  <si>
    <t>Importante</t>
  </si>
  <si>
    <t>Critica</t>
  </si>
  <si>
    <t>Refletancia do fundo</t>
  </si>
  <si>
    <t>Superior a 70%</t>
  </si>
  <si>
    <t>30 a 70%</t>
  </si>
  <si>
    <t>Inferior a 30%</t>
  </si>
  <si>
    <t>CALCULADORA DE PESO</t>
  </si>
  <si>
    <t>Peso Fator 1 (Idade):</t>
  </si>
  <si>
    <t>Peso Fator 2 (Velocidade):</t>
  </si>
  <si>
    <t>Peso Fator 3 (Refletancia):</t>
  </si>
  <si>
    <t>SOMA DOS PESOS:</t>
  </si>
  <si>
    <t>ILUMINANCIA RECOMENDADA:</t>
  </si>
  <si>
    <t>BLOCO 4 — TABELA DE CLASSES E ILUMINANCIAS NBR 5413 (Tabela 3.2)</t>
  </si>
  <si>
    <t>CLASSE</t>
  </si>
  <si>
    <t>ILUMINANCIA (lux)</t>
  </si>
  <si>
    <t>TIPO DE ATIVIDADE</t>
  </si>
  <si>
    <t>A</t>
  </si>
  <si>
    <t>20 - 30 - 50</t>
  </si>
  <si>
    <t>Areas publicas com arredores escuros</t>
  </si>
  <si>
    <t>50 - 75 - 100</t>
  </si>
  <si>
    <t>Orientacao simples para permanencia curta</t>
  </si>
  <si>
    <t>100 - 150 - 200</t>
  </si>
  <si>
    <t>Depositos, recintos nao usados continuamente</t>
  </si>
  <si>
    <t>200 - 300 - 500</t>
  </si>
  <si>
    <t>Tarefas visuais limitadas, maquinaria grossa, auditorios</t>
  </si>
  <si>
    <t>B</t>
  </si>
  <si>
    <t>500 - 750 - 1000</t>
  </si>
  <si>
    <t>Tarefas normais: escritorios, trabalho medio de maquinaria</t>
  </si>
  <si>
    <t>1000 - 1500 - 2000</t>
  </si>
  <si>
    <t>Tarefas especiais: gravacao, inspecao, industria de roupas</t>
  </si>
  <si>
    <t>C</t>
  </si>
  <si>
    <t>2000 - 3000 - 5000</t>
  </si>
  <si>
    <t>Tarefas exatas e prolongadas: eletronica</t>
  </si>
  <si>
    <t>5000 - 7500 - 10000</t>
  </si>
  <si>
    <t>Tarefas muito exatas: montagem de microeletronica</t>
  </si>
  <si>
    <t>10000 - 15000 - 20000</t>
  </si>
  <si>
    <t>Tarefas muito especiais: cirurgia</t>
  </si>
  <si>
    <t>TUTORIAL — COMO USAR ESTA PLANILHA</t>
  </si>
  <si>
    <t>ESTRUTURA DA PLANILHA</t>
  </si>
  <si>
    <t>Aba AMBIENTES</t>
  </si>
  <si>
    <t>Preencha os dados de cada ambiente do projeto aqui.</t>
  </si>
  <si>
    <t>Aba LAMPADAS</t>
  </si>
  <si>
    <t>Tabela de luminarias. Adicione novas linhas dentro da tabela formatada.</t>
  </si>
  <si>
    <t>Aba NBR</t>
  </si>
  <si>
    <t>Referencia de iluminancias por tipo de atividade (NBR 8995-1 e NBR 5413).</t>
  </si>
  <si>
    <t>Aba CONSULTA</t>
  </si>
  <si>
    <t>Calculos auxiliares: FM, FU e selecao de iluminancia por peso.</t>
  </si>
  <si>
    <t>PASSO A PASSO — PREENCHIMENTO DA ABA AMBIENTES</t>
  </si>
  <si>
    <t>1. Col A — AMBIENTE</t>
  </si>
  <si>
    <t>Digite o nome do ambiente (ex: Gabinete do Prefeito).</t>
  </si>
  <si>
    <t>2. Col B — ATIVIDADE NBR</t>
  </si>
  <si>
    <t>Clique na celula e use o DROPDOWN para selecionar a atividade da norma.</t>
  </si>
  <si>
    <t>→ A Col G (Iluminancia) sera preenchida automaticamente!</t>
  </si>
  <si>
    <t>3. Col D e E — COMPRIMENTO / LARGURA</t>
  </si>
  <si>
    <t>Digite as dimensoes do ambiente em metros.</t>
  </si>
  <si>
    <t>4. Col F — ALTURA LUMINARIA</t>
  </si>
  <si>
    <t>Digite a distancia do piso acabado ate a luminaria (em metros).</t>
  </si>
  <si>
    <t>5. Col I — LUMINARIA</t>
  </si>
  <si>
    <t>Use o DROPDOWN para selecionar a luminaria do projeto.</t>
  </si>
  <si>
    <t>→ As colunas J (Fluxo) e O (Potencia) serao preenchidas automaticamente!</t>
  </si>
  <si>
    <t>6. Col K — FU</t>
  </si>
  <si>
    <t>Fator de Utilizacao. Consulte a aba CONSULTA (Bloco 2) para estimar. Padrao: 0,80.</t>
  </si>
  <si>
    <t>7. Col L — FM</t>
  </si>
  <si>
    <t>Fator de Manutencao. Use o DROPDOWN: Limpo=0,9 | Medio=0,8 | Sujo=0,6.</t>
  </si>
  <si>
    <t>8. Col N — N ADOTADO</t>
  </si>
  <si>
    <t>Digite a quantidade de luminarias que voce vai adotar no projeto.</t>
  </si>
  <si>
    <t>→ Col M mostra o N calculado como referencia.</t>
  </si>
  <si>
    <t>9. Col Q e R — TUG / TOM. ESPECIAIS</t>
  </si>
  <si>
    <t>Quantidade de tomadas de uso geral e potencia das tomadas especiais.</t>
  </si>
  <si>
    <t>10. Colunas U, V, W — ANALISE</t>
  </si>
  <si>
    <t>Preenchidas automaticamente. Verifique o status OK / INSUFICIENTE / ACIMA.</t>
  </si>
  <si>
    <t>COMO ADICIONAR NOVAS LUMINARIAS</t>
  </si>
  <si>
    <t>Aba LAMPADAS — adicionar luminaria</t>
  </si>
  <si>
    <t>1. Va ate a aba LAMPADAS.</t>
  </si>
  <si>
    <t>2. Clique na ultima linha da tabela (dentro da area azul/branca).</t>
  </si>
  <si>
    <t>3. Pressione Tab para criar uma nova linha automaticamente.</t>
  </si>
  <si>
    <t>4. Preencha: Descricao, Fluxo (lm), Tipo, Potencia (W), Eficacia.</t>
  </si>
  <si>
    <t>5. Volte a aba AMBIENTES — a nova luminaria ja aparece no dropdown da Col I!</t>
  </si>
  <si>
    <t>→ A tabela e dinamica. Nao e necessario alterar nenhuma formula.</t>
  </si>
  <si>
    <t>COMO ADICIONAR NOVAS ATIVIDADES NA NBR</t>
  </si>
  <si>
    <t>1. Va ate a aba NBR.</t>
  </si>
  <si>
    <t>2. Role ate o final da tabela e adicione uma nova linha.</t>
  </si>
  <si>
    <t>3. Preencha: Norma, Grupo, Atividade, Em MIN, Em MED, Em MAX.</t>
  </si>
  <si>
    <t>4. O dropdown da Col B na aba AMBIENTES usa a aba _LISTAS.</t>
  </si>
  <si>
    <t>→ Para a nova atividade aparecer no dropdown, cole seu nome na aba _LISTAS coluna A.</t>
  </si>
  <si>
    <t>LEGENDA DAS COLUNAS AUTOMATICAS</t>
  </si>
  <si>
    <t>Col G — ILUMINANCIA (lux)</t>
  </si>
  <si>
    <t>Valor Em da norma para a atividade selecionada.</t>
  </si>
  <si>
    <t>Col H — INDICE K</t>
  </si>
  <si>
    <t>K = (Comp x Larg) / ((Comp + Larg) x AltLuminaria)</t>
  </si>
  <si>
    <t>Col J — FLUXO LUMINOSO (lm)</t>
  </si>
  <si>
    <t>Busca automatica na aba LAMPADAS pela luminaria escolhida.</t>
  </si>
  <si>
    <t>Col M — N CALCULADO</t>
  </si>
  <si>
    <t>N = (Area x Em) / (Fluxo x FU x FM)</t>
  </si>
  <si>
    <t>Col O — POTENCIA (W)</t>
  </si>
  <si>
    <t>Col U — ANALISE LUX</t>
  </si>
  <si>
    <t>OK: lux real dentro de ±10% do Em. INSUFICIENTE: abaixo de 90%. ACIMA: acima de 120%.</t>
  </si>
  <si>
    <t>Col W — LUX REAL</t>
  </si>
  <si>
    <t>Lux calculado com o N adotado: (N x Fluxo x FU x FM) / Area</t>
  </si>
  <si>
    <t>Parabólica LED</t>
  </si>
  <si>
    <t>Luminária comercial - parabólica quadrada 600x600 - 4 lâmpadas t8 - de embutir</t>
  </si>
  <si>
    <t>Luminária embutir CE209AL-N/S (2x T8 9W)</t>
  </si>
  <si>
    <t>Luminária embutir CE218AL-N/S (2x T8 18W)</t>
  </si>
  <si>
    <t>Luminária embutir CE409AL-N (4x T8 9W)</t>
  </si>
  <si>
    <t>LUX MAX</t>
  </si>
  <si>
    <t>LUX MINIMO</t>
  </si>
  <si>
    <t>LUX IDEAL</t>
  </si>
  <si>
    <t>Refletor LED Power Elgin 30W - 6500K (Uso Externo)</t>
  </si>
  <si>
    <t>Refletor Projetor LED</t>
  </si>
  <si>
    <t>Refletor LED Power Elgin 30W - 6500K (Uso Interno/Garagem)</t>
  </si>
  <si>
    <t>Refletor LED Power Elgin 30W - 3000K (Luz Amarela/Paisagismo)</t>
  </si>
  <si>
    <t>Refletor LED Power Elgin 30W - Luz Verde (Decorativo/Jardim)</t>
  </si>
  <si>
    <t>Refletor LED Power Elgin 50W - Garagens e Perímetros Baixos (H: 2.5 a 4m)</t>
  </si>
  <si>
    <t>Refletor LED Power Elgin 100W - Grandes Fachadas e Estacionamentos (H: 4 a 6m)</t>
  </si>
  <si>
    <t>Refletor LED Power Elgin 150W - 6500K</t>
  </si>
  <si>
    <t>Refletor LED Power Elgin 200W - 6500K</t>
  </si>
  <si>
    <t>Refletor LED Power Elgin 400W - 6500K</t>
  </si>
  <si>
    <t>Refletor LED Power Elgin 500W - 6500K</t>
  </si>
  <si>
    <t>Refletor LED Assimétrico 100W - Iluminação de Pátio s/ Ofuscamento</t>
  </si>
  <si>
    <t>Refletor LED Slim Micro 20W - Iluminação de Destaque / Marquise</t>
  </si>
  <si>
    <t>PERIMETRO</t>
  </si>
  <si>
    <t>GUID</t>
  </si>
  <si>
    <t>ID</t>
  </si>
  <si>
    <t>LUM 00 — Exportar Ambientes</t>
  </si>
  <si>
    <t>Guia de uso</t>
  </si>
  <si>
    <r>
      <t>O que este botão faz:</t>
    </r>
    <r>
      <rPr>
        <sz val="10"/>
        <rFont val="Arial"/>
        <family val="2"/>
      </rPr>
      <t xml:space="preserve"> Exporta os ambientes (Rooms) do modelo Revit para uma planilha Excel de cálculo luminotécnico, criando automaticamente os parâmetros </t>
    </r>
    <r>
      <rPr>
        <sz val="10"/>
        <rFont val="Arial Unicode MS"/>
        <family val="2"/>
      </rPr>
      <t>LUM_*</t>
    </r>
    <r>
      <rPr>
        <sz val="10"/>
        <rFont val="Arial"/>
        <family val="2"/>
      </rPr>
      <t xml:space="preserve"> no projeto.</t>
    </r>
  </si>
  <si>
    <t>ANTES DE COMEÇAR</t>
  </si>
  <si>
    <t>Tenha em mãos:</t>
  </si>
  <si>
    <r>
      <t xml:space="preserve">O arquivo Excel de cálculo luminotécnico (ex: </t>
    </r>
    <r>
      <rPr>
        <sz val="10"/>
        <rFont val="Arial Unicode MS"/>
        <family val="2"/>
      </rPr>
      <t>CALCULO_LUMINOTECNICO_RVT.xlsx</t>
    </r>
    <r>
      <rPr>
        <sz val="10"/>
        <rFont val="Arial"/>
        <family val="2"/>
      </rPr>
      <t>)</t>
    </r>
  </si>
  <si>
    <r>
      <t xml:space="preserve">O arquivo </t>
    </r>
    <r>
      <rPr>
        <sz val="10"/>
        <rFont val="Arial Unicode MS"/>
        <family val="2"/>
      </rPr>
      <t>.txt</t>
    </r>
    <r>
      <rPr>
        <sz val="10"/>
        <rFont val="Arial"/>
        <family val="2"/>
      </rPr>
      <t xml:space="preserve"> de parâmetros compartilhados do projeto — se não tiver, o botão cria um novo</t>
    </r>
  </si>
  <si>
    <t>PASSO A PASSO</t>
  </si>
  <si>
    <r>
      <t>Passo 1 — Abrir o botão</t>
    </r>
    <r>
      <rPr>
        <sz val="10"/>
        <rFont val="Arial"/>
        <family val="2"/>
      </rPr>
      <t xml:space="preserve"> Clique em </t>
    </r>
    <r>
      <rPr>
        <sz val="10"/>
        <rFont val="Arial Unicode MS"/>
        <family val="2"/>
      </rPr>
      <t>LUM 00</t>
    </r>
    <r>
      <rPr>
        <sz val="10"/>
        <rFont val="Arial"/>
        <family val="2"/>
      </rPr>
      <t xml:space="preserve"> na aba NnBim do Revit. A janela abre automaticamente com a lista de todos os ambientes do modelo.</t>
    </r>
  </si>
  <si>
    <r>
      <t>Passo 2 — Selecionar os ambientes</t>
    </r>
    <r>
      <rPr>
        <sz val="10"/>
        <rFont val="Arial"/>
        <family val="2"/>
      </rPr>
      <t xml:space="preserve"> Na lista, marque os ambientes que devem ser exportados. Use o botão </t>
    </r>
    <r>
      <rPr>
        <sz val="10"/>
        <rFont val="Arial Unicode MS"/>
        <family val="2"/>
      </rPr>
      <t>Selecionar todos</t>
    </r>
    <r>
      <rPr>
        <sz val="10"/>
        <rFont val="Arial"/>
        <family val="2"/>
      </rPr>
      <t xml:space="preserve"> para marcar tudo de uma vez. Ambientes sem área são ignorados automaticamente.</t>
    </r>
  </si>
  <si>
    <r>
      <t>Passo 3 — Parâmetros compartilhados</t>
    </r>
    <r>
      <rPr>
        <sz val="10"/>
        <rFont val="Arial"/>
        <family val="2"/>
      </rPr>
      <t xml:space="preserve"> O script verifica automaticamente se o projeto já tem um arquivo </t>
    </r>
    <r>
      <rPr>
        <sz val="10"/>
        <rFont val="Arial Unicode MS"/>
        <family val="2"/>
      </rPr>
      <t>.txt</t>
    </r>
    <r>
      <rPr>
        <sz val="10"/>
        <rFont val="Arial"/>
        <family val="2"/>
      </rPr>
      <t xml:space="preserve"> de parâmetros compartilhados configurado.</t>
    </r>
  </si>
  <si>
    <r>
      <t xml:space="preserve">Se já tiver: o script usa o arquivo existente e adiciona os parâmetros </t>
    </r>
    <r>
      <rPr>
        <sz val="10"/>
        <rFont val="Arial Unicode MS"/>
        <family val="2"/>
      </rPr>
      <t>LUM_*</t>
    </r>
    <r>
      <rPr>
        <sz val="10"/>
        <rFont val="Arial"/>
        <family val="2"/>
      </rPr>
      <t xml:space="preserve"> se ainda não existirem. Nenhuma ação necessária.</t>
    </r>
  </si>
  <si>
    <r>
      <t xml:space="preserve">Se não tiver: uma janela será aberta pedindo para você localizar ou criar o arquivo </t>
    </r>
    <r>
      <rPr>
        <sz val="10"/>
        <rFont val="Arial Unicode MS"/>
        <family val="2"/>
      </rPr>
      <t>.txt</t>
    </r>
    <r>
      <rPr>
        <sz val="10"/>
        <rFont val="Arial"/>
        <family val="2"/>
      </rPr>
      <t xml:space="preserve">. Escolha um local de fácil acesso na pasta do projeto e salve com o nome </t>
    </r>
    <r>
      <rPr>
        <sz val="10"/>
        <rFont val="Arial Unicode MS"/>
        <family val="2"/>
      </rPr>
      <t>NnBim_SharedParameters.txt</t>
    </r>
    <r>
      <rPr>
        <sz val="10"/>
        <rFont val="Arial"/>
        <family val="2"/>
      </rPr>
      <t>.</t>
    </r>
  </si>
  <si>
    <r>
      <t>Passo 4 — Selecionar o arquivo Excel</t>
    </r>
    <r>
      <rPr>
        <sz val="10"/>
        <rFont val="Arial"/>
        <family val="2"/>
      </rPr>
      <t xml:space="preserve"> Clique em </t>
    </r>
    <r>
      <rPr>
        <sz val="10"/>
        <rFont val="Arial Unicode MS"/>
        <family val="2"/>
      </rPr>
      <t>Selecionar arquivo de cálculo xlsx</t>
    </r>
    <r>
      <rPr>
        <sz val="10"/>
        <rFont val="Arial"/>
        <family val="2"/>
      </rPr>
      <t xml:space="preserve">. Navegue até o arquivo </t>
    </r>
    <r>
      <rPr>
        <sz val="10"/>
        <rFont val="Arial Unicode MS"/>
        <family val="2"/>
      </rPr>
      <t>CALCULO_LUMINOTECNICO_RVT.xlsx</t>
    </r>
    <r>
      <rPr>
        <sz val="10"/>
        <rFont val="Arial"/>
        <family val="2"/>
      </rPr>
      <t xml:space="preserve"> e clique em Abrir. O caminho do arquivo aparecerá na janela.</t>
    </r>
  </si>
  <si>
    <r>
      <t>Passo 5 — Selecionar a aba</t>
    </r>
    <r>
      <rPr>
        <sz val="10"/>
        <rFont val="Arial"/>
        <family val="2"/>
      </rPr>
      <t xml:space="preserve"> No dropdown </t>
    </r>
    <r>
      <rPr>
        <sz val="10"/>
        <rFont val="Arial Unicode MS"/>
        <family val="2"/>
      </rPr>
      <t>Gravar dados na aba</t>
    </r>
    <r>
      <rPr>
        <sz val="10"/>
        <rFont val="Arial"/>
        <family val="2"/>
      </rPr>
      <t xml:space="preserve">, escolha em qual aba do Excel os dados serão inseridos. Exemplo: </t>
    </r>
    <r>
      <rPr>
        <sz val="10"/>
        <rFont val="Arial Unicode MS"/>
        <family val="2"/>
      </rPr>
      <t>DELEGACIA</t>
    </r>
    <r>
      <rPr>
        <sz val="10"/>
        <rFont val="Arial"/>
        <family val="2"/>
      </rPr>
      <t xml:space="preserve">, </t>
    </r>
    <r>
      <rPr>
        <sz val="10"/>
        <rFont val="Arial Unicode MS"/>
        <family val="2"/>
      </rPr>
      <t>UOP</t>
    </r>
    <r>
      <rPr>
        <sz val="10"/>
        <rFont val="Arial"/>
        <family val="2"/>
      </rPr>
      <t xml:space="preserve">, </t>
    </r>
    <r>
      <rPr>
        <sz val="10"/>
        <rFont val="Arial Unicode MS"/>
        <family val="2"/>
      </rPr>
      <t>PAVIMENTO 01</t>
    </r>
    <r>
      <rPr>
        <sz val="10"/>
        <rFont val="Arial"/>
        <family val="2"/>
      </rPr>
      <t>.</t>
    </r>
  </si>
  <si>
    <r>
      <t>Passo 6 — Exportar</t>
    </r>
    <r>
      <rPr>
        <sz val="10"/>
        <rFont val="Arial"/>
        <family val="2"/>
      </rPr>
      <t xml:space="preserve"> Clique em </t>
    </r>
    <r>
      <rPr>
        <sz val="10"/>
        <rFont val="Arial Unicode MS"/>
        <family val="2"/>
      </rPr>
      <t>Exportar</t>
    </r>
    <r>
      <rPr>
        <sz val="10"/>
        <rFont val="Arial"/>
        <family val="2"/>
      </rPr>
      <t xml:space="preserve">. Uma janela </t>
    </r>
    <r>
      <rPr>
        <sz val="10"/>
        <rFont val="Arial Unicode MS"/>
        <family val="2"/>
      </rPr>
      <t>Salvar como</t>
    </r>
    <r>
      <rPr>
        <sz val="10"/>
        <rFont val="Arial"/>
        <family val="2"/>
      </rPr>
      <t xml:space="preserve"> será aberta. Escolha a pasta de destino e dê um nome ao arquivo. Exemplo: </t>
    </r>
    <r>
      <rPr>
        <sz val="10"/>
        <rFont val="Arial Unicode MS"/>
        <family val="2"/>
      </rPr>
      <t>LUM_DELEGACIA_2026-06.xlsx</t>
    </r>
    <r>
      <rPr>
        <sz val="10"/>
        <rFont val="Arial"/>
        <family val="2"/>
      </rPr>
      <t>. Clique em Salvar.</t>
    </r>
  </si>
  <si>
    <r>
      <t>Passo 7 — Confirmação</t>
    </r>
    <r>
      <rPr>
        <sz val="10"/>
        <rFont val="Arial"/>
        <family val="2"/>
      </rPr>
      <t xml:space="preserve"> Uma mensagem informará quantos ambientes foram exportados. Exemplo: </t>
    </r>
    <r>
      <rPr>
        <sz val="10"/>
        <rFont val="Arial Unicode MS"/>
        <family val="2"/>
      </rPr>
      <t>21 ambientes exportados para LUM_DELEGACIA_2026-06.xlsx</t>
    </r>
    <r>
      <rPr>
        <sz val="10"/>
        <rFont val="Arial"/>
        <family val="2"/>
      </rPr>
      <t>.</t>
    </r>
  </si>
  <si>
    <t>RESULTADO</t>
  </si>
  <si>
    <t>O arquivo Excel gerado terá:</t>
  </si>
  <si>
    <r>
      <t xml:space="preserve">Colunas </t>
    </r>
    <r>
      <rPr>
        <sz val="10"/>
        <rFont val="Arial Unicode MS"/>
        <family val="2"/>
      </rPr>
      <t>GUID</t>
    </r>
    <r>
      <rPr>
        <sz val="10"/>
        <rFont val="Arial"/>
        <family val="2"/>
      </rPr>
      <t xml:space="preserve"> e </t>
    </r>
    <r>
      <rPr>
        <sz val="10"/>
        <rFont val="Arial Unicode MS"/>
        <family val="2"/>
      </rPr>
      <t>ID</t>
    </r>
    <r>
      <rPr>
        <sz val="10"/>
        <rFont val="Arial"/>
        <family val="2"/>
      </rPr>
      <t xml:space="preserve"> preenchidas automaticamente (não altere)</t>
    </r>
  </si>
  <si>
    <r>
      <t xml:space="preserve">Coluna </t>
    </r>
    <r>
      <rPr>
        <sz val="10"/>
        <rFont val="Arial Unicode MS"/>
        <family val="2"/>
      </rPr>
      <t>AMBIENTE</t>
    </r>
    <r>
      <rPr>
        <sz val="10"/>
        <rFont val="Arial"/>
        <family val="2"/>
      </rPr>
      <t xml:space="preserve"> com o nome do Room</t>
    </r>
  </si>
  <si>
    <r>
      <t xml:space="preserve">Colunas </t>
    </r>
    <r>
      <rPr>
        <sz val="10"/>
        <rFont val="Arial Unicode MS"/>
        <family val="2"/>
      </rPr>
      <t>AREA</t>
    </r>
    <r>
      <rPr>
        <sz val="10"/>
        <rFont val="Arial"/>
        <family val="2"/>
      </rPr>
      <t xml:space="preserve">, </t>
    </r>
    <r>
      <rPr>
        <sz val="10"/>
        <rFont val="Arial Unicode MS"/>
        <family val="2"/>
      </rPr>
      <t>PERIMETRO</t>
    </r>
    <r>
      <rPr>
        <sz val="10"/>
        <rFont val="Arial"/>
        <family val="2"/>
      </rPr>
      <t xml:space="preserve"> e </t>
    </r>
    <r>
      <rPr>
        <sz val="10"/>
        <rFont val="Arial Unicode MS"/>
        <family val="2"/>
      </rPr>
      <t>ALTURA LUMINARIA</t>
    </r>
    <r>
      <rPr>
        <sz val="10"/>
        <rFont val="Arial"/>
        <family val="2"/>
      </rPr>
      <t xml:space="preserve"> com os dados do modelo</t>
    </r>
  </si>
  <si>
    <t>Todas as fórmulas e dropdowns funcionando normalmente</t>
  </si>
  <si>
    <t>O que você preenche no Excel:</t>
  </si>
  <si>
    <t>Atividade NBR → dropdown</t>
  </si>
  <si>
    <t>Luminária → dropdown</t>
  </si>
  <si>
    <t>FU → digita</t>
  </si>
  <si>
    <t>FM → dropdown</t>
  </si>
  <si>
    <t>N Adotado → digita</t>
  </si>
  <si>
    <t>PRÓXIMO PASSO</t>
  </si>
  <si>
    <r>
      <t xml:space="preserve">Após preencher o Excel, use o botão </t>
    </r>
    <r>
      <rPr>
        <sz val="10"/>
        <rFont val="Arial Unicode MS"/>
        <family val="2"/>
      </rPr>
      <t>LUM 02</t>
    </r>
    <r>
      <rPr>
        <sz val="10"/>
        <rFont val="Arial"/>
        <family val="2"/>
      </rPr>
      <t xml:space="preserve"> para importar os resultados de volta ao Revit.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</si>
</sst>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3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11"/>
      <color rgb="FFFFFFFF"/>
      <name val="Arial"/>
      <family val="2"/>
    </font>
    <font>
      <i/>
      <sz val="9"/>
      <color rgb="FF1F3864"/>
      <name val="Arial"/>
      <family val="2"/>
    </font>
    <font>
      <i/>
      <sz val="8"/>
      <color rgb="FF0070C0"/>
      <name val="Arial"/>
      <family val="2"/>
    </font>
    <font>
      <i/>
      <sz val="8"/>
      <color rgb="FF00B050"/>
      <name val="Arial"/>
      <family val="2"/>
    </font>
    <font>
      <b/>
      <sz val="12"/>
      <color rgb="FFFFFFFF"/>
      <name val="Arial"/>
      <family val="2"/>
    </font>
    <font>
      <sz val="9"/>
      <color rgb="FF0070C0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b/>
      <sz val="13"/>
      <color rgb="FFFFFFFF"/>
      <name val="Arial"/>
      <family val="2"/>
    </font>
    <font>
      <i/>
      <sz val="9"/>
      <color rgb="FF000000"/>
      <name val="Arial"/>
      <family val="2"/>
    </font>
    <font>
      <b/>
      <sz val="11"/>
      <color rgb="FF7030A0"/>
      <name val="Arial"/>
      <family val="2"/>
    </font>
    <font>
      <b/>
      <sz val="11"/>
      <color rgb="FF00B050"/>
      <name val="Arial"/>
      <family val="2"/>
    </font>
    <font>
      <b/>
      <sz val="14"/>
      <color rgb="FFFFFFFF"/>
      <name val="Arial"/>
      <family val="2"/>
    </font>
    <font>
      <i/>
      <sz val="8"/>
      <color rgb="FF7030A0"/>
      <name val="Arial"/>
      <family val="2"/>
    </font>
    <font>
      <sz val="11"/>
      <name val="Calibri"/>
      <family val="2"/>
    </font>
    <font>
      <b/>
      <sz val="10"/>
      <color theme="0"/>
      <name val="Arial"/>
      <family val="2"/>
    </font>
    <font>
      <sz val="10"/>
      <name val="Arial Unicode MS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3.5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8F1FA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0070C0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theme="0"/>
        <bgColor indexed="64"/>
      </patternFill>
    </fill>
    <fill>
      <patternFill patternType="solid">
        <fgColor rgb="FFBFBFB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26" fillId="11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5" fillId="4" borderId="5" xfId="0" applyFont="1" applyFill="1" applyBorder="1" applyAlignment="1">
      <alignment horizontal="left" vertical="center" wrapText="1"/>
    </xf>
    <xf numFmtId="3" fontId="3" fillId="4" borderId="5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165" fontId="5" fillId="4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3" fontId="3" fillId="5" borderId="5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165" fontId="5" fillId="5" borderId="5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left" vertical="center" wrapText="1"/>
    </xf>
    <xf numFmtId="3" fontId="10" fillId="4" borderId="6" xfId="0" applyNumberFormat="1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center" vertical="center" wrapText="1"/>
    </xf>
    <xf numFmtId="165" fontId="9" fillId="4" borderId="6" xfId="0" applyNumberFormat="1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left" vertical="center" wrapText="1"/>
    </xf>
    <xf numFmtId="3" fontId="10" fillId="5" borderId="6" xfId="0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 vertical="center" wrapText="1"/>
    </xf>
    <xf numFmtId="165" fontId="9" fillId="5" borderId="6" xfId="0" applyNumberFormat="1" applyFont="1" applyFill="1" applyBorder="1" applyAlignment="1">
      <alignment horizontal="center" vertical="center" wrapText="1"/>
    </xf>
    <xf numFmtId="2" fontId="9" fillId="4" borderId="6" xfId="0" applyNumberFormat="1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0" fillId="5" borderId="0" xfId="0" applyFill="1"/>
    <xf numFmtId="0" fontId="8" fillId="2" borderId="6" xfId="0" applyFont="1" applyFill="1" applyBorder="1" applyAlignment="1">
      <alignment horizontal="center" vertical="center" wrapText="1"/>
    </xf>
    <xf numFmtId="2" fontId="8" fillId="7" borderId="6" xfId="0" applyNumberFormat="1" applyFont="1" applyFill="1" applyBorder="1" applyAlignment="1">
      <alignment horizontal="center" vertical="center" wrapText="1"/>
    </xf>
    <xf numFmtId="164" fontId="8" fillId="8" borderId="6" xfId="0" applyNumberFormat="1" applyFont="1" applyFill="1" applyBorder="1" applyAlignment="1">
      <alignment horizontal="center" vertical="center" wrapText="1"/>
    </xf>
    <xf numFmtId="164" fontId="8" fillId="3" borderId="6" xfId="0" applyNumberFormat="1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2" fontId="11" fillId="6" borderId="6" xfId="0" applyNumberFormat="1" applyFont="1" applyFill="1" applyBorder="1" applyAlignment="1">
      <alignment horizontal="center" vertical="center" wrapText="1"/>
    </xf>
    <xf numFmtId="164" fontId="11" fillId="6" borderId="6" xfId="0" applyNumberFormat="1" applyFont="1" applyFill="1" applyBorder="1" applyAlignment="1">
      <alignment horizontal="center" vertical="center" wrapText="1"/>
    </xf>
    <xf numFmtId="2" fontId="17" fillId="4" borderId="6" xfId="0" applyNumberFormat="1" applyFont="1" applyFill="1" applyBorder="1" applyAlignment="1">
      <alignment horizontal="center" vertical="center" wrapText="1"/>
    </xf>
    <xf numFmtId="1" fontId="18" fillId="6" borderId="6" xfId="0" applyNumberFormat="1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3" fontId="17" fillId="6" borderId="6" xfId="0" applyNumberFormat="1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2" fontId="17" fillId="5" borderId="6" xfId="0" applyNumberFormat="1" applyFont="1" applyFill="1" applyBorder="1" applyAlignment="1">
      <alignment horizontal="center" vertical="center" wrapText="1"/>
    </xf>
    <xf numFmtId="2" fontId="9" fillId="5" borderId="6" xfId="0" applyNumberFormat="1" applyFont="1" applyFill="1" applyBorder="1" applyAlignment="1">
      <alignment horizontal="center" vertical="center" wrapText="1"/>
    </xf>
    <xf numFmtId="1" fontId="17" fillId="5" borderId="6" xfId="0" applyNumberFormat="1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9" fillId="5" borderId="6" xfId="0" applyNumberFormat="1" applyFont="1" applyFill="1" applyBorder="1" applyAlignment="1">
      <alignment horizontal="left" vertical="center" wrapText="1"/>
    </xf>
    <xf numFmtId="3" fontId="9" fillId="5" borderId="6" xfId="0" applyNumberFormat="1" applyFont="1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/>
    </xf>
    <xf numFmtId="0" fontId="2" fillId="5" borderId="0" xfId="0" applyFont="1" applyFill="1"/>
    <xf numFmtId="0" fontId="10" fillId="4" borderId="6" xfId="0" applyFont="1" applyFill="1" applyBorder="1" applyAlignment="1">
      <alignment horizontal="left" vertical="center" wrapText="1"/>
    </xf>
    <xf numFmtId="165" fontId="10" fillId="4" borderId="6" xfId="0" applyNumberFormat="1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165" fontId="10" fillId="5" borderId="6" xfId="0" applyNumberFormat="1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left" vertical="center" wrapText="1"/>
    </xf>
    <xf numFmtId="2" fontId="10" fillId="4" borderId="6" xfId="0" applyNumberFormat="1" applyFont="1" applyFill="1" applyBorder="1" applyAlignment="1">
      <alignment horizontal="center" vertical="center" wrapText="1"/>
    </xf>
    <xf numFmtId="2" fontId="10" fillId="5" borderId="6" xfId="0" applyNumberFormat="1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0" fontId="19" fillId="5" borderId="6" xfId="0" applyFont="1" applyFill="1" applyBorder="1" applyAlignment="1">
      <alignment horizontal="left" vertical="center" wrapText="1"/>
    </xf>
    <xf numFmtId="0" fontId="25" fillId="5" borderId="6" xfId="0" applyFont="1" applyFill="1" applyBorder="1" applyAlignment="1">
      <alignment horizontal="left" vertical="center" wrapText="1"/>
    </xf>
    <xf numFmtId="0" fontId="19" fillId="4" borderId="6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left" vertical="center" wrapText="1"/>
    </xf>
    <xf numFmtId="1" fontId="9" fillId="5" borderId="6" xfId="0" applyNumberFormat="1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 wrapText="1"/>
    </xf>
    <xf numFmtId="0" fontId="0" fillId="12" borderId="0" xfId="0" applyFill="1"/>
    <xf numFmtId="0" fontId="0" fillId="14" borderId="0" xfId="0" applyFill="1"/>
    <xf numFmtId="0" fontId="0" fillId="15" borderId="0" xfId="0" applyFill="1"/>
    <xf numFmtId="2" fontId="4" fillId="3" borderId="6" xfId="0" applyNumberFormat="1" applyFont="1" applyFill="1" applyBorder="1" applyAlignment="1">
      <alignment horizontal="center" vertical="center" wrapText="1"/>
    </xf>
    <xf numFmtId="0" fontId="27" fillId="13" borderId="0" xfId="0" applyFont="1" applyFill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" fillId="0" borderId="0" xfId="0" applyFont="1"/>
    <xf numFmtId="0" fontId="29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6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7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center" vertical="center" wrapText="1"/>
    </xf>
  </cellXfs>
  <cellStyles count="2">
    <cellStyle name="DiRootsParameterNotFound" xfId="1" xr:uid="{F5F36A4D-E60F-4624-85CE-0CCFFBA07F58}"/>
    <cellStyle name="Normal" xfId="0" builtinId="0"/>
  </cellStyles>
  <dxfs count="6">
    <dxf>
      <font>
        <b/>
        <color rgb="FF7F3F00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F99"/>
        </patternFill>
      </fill>
    </dxf>
    <dxf>
      <font>
        <b/>
        <color rgb="FF9C0006"/>
      </font>
      <fill>
        <patternFill>
          <bgColor rgb="FFFF99CC"/>
        </patternFill>
      </fill>
    </dxf>
    <dxf>
      <font>
        <b/>
        <color rgb="FF006100"/>
      </font>
      <fill>
        <patternFill>
          <bgColor rgb="FFCCFFCC"/>
        </patternFill>
      </fill>
    </dxf>
    <dxf>
      <font>
        <b/>
        <color rgb="FF9C0006"/>
      </font>
      <fill>
        <patternFill>
          <bgColor rgb="FFFF99CC"/>
        </patternFill>
      </fill>
    </dxf>
    <dxf>
      <font>
        <b/>
        <color rgb="FF9C5700"/>
      </font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575220</xdr:colOff>
      <xdr:row>0</xdr:row>
      <xdr:rowOff>0</xdr:rowOff>
    </xdr:from>
    <xdr:to>
      <xdr:col>14</xdr:col>
      <xdr:colOff>174540</xdr:colOff>
      <xdr:row>17</xdr:row>
      <xdr:rowOff>259200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0560" y="0"/>
          <a:ext cx="3919860" cy="423684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uminarias" displayName="tbl_Luminarias" ref="A2:E36">
  <autoFilter ref="A2:E36" xr:uid="{00000000-0009-0000-0100-000001000000}"/>
  <tableColumns count="5">
    <tableColumn id="1" xr3:uid="{00000000-0010-0000-0000-000001000000}" name="DESCRICAO"/>
    <tableColumn id="2" xr3:uid="{00000000-0010-0000-0000-000002000000}" name="FLUXO (lm)"/>
    <tableColumn id="3" xr3:uid="{00000000-0010-0000-0000-000003000000}" name="TIPO"/>
    <tableColumn id="4" xr3:uid="{00000000-0010-0000-0000-000004000000}" name="POTENCIA (W)"/>
    <tableColumn id="5" xr3:uid="{00000000-0010-0000-0000-000005000000}" name="EFICACIA (lm/W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18D3-F7FD-4C1F-87A9-B2D5C8104FFF}">
  <dimension ref="A1:AD177"/>
  <sheetViews>
    <sheetView showGridLines="0" tabSelected="1" zoomScaleNormal="100" workbookViewId="0">
      <pane xSplit="3" ySplit="3" topLeftCell="D4" activePane="bottomRight" state="frozen"/>
      <selection pane="topRight"/>
      <selection pane="bottomLeft"/>
      <selection pane="bottomRight" activeCell="D155" sqref="D155"/>
    </sheetView>
  </sheetViews>
  <sheetFormatPr defaultColWidth="9" defaultRowHeight="13.2" x14ac:dyDescent="0.25"/>
  <cols>
    <col min="3" max="3" width="29.109375" bestFit="1" customWidth="1"/>
    <col min="4" max="4" width="32" customWidth="1"/>
    <col min="5" max="5" width="10" customWidth="1"/>
    <col min="6" max="6" width="12.21875" customWidth="1"/>
    <col min="7" max="7" width="14.21875" customWidth="1"/>
    <col min="8" max="8" width="12" style="1" customWidth="1"/>
    <col min="9" max="9" width="14" style="1" customWidth="1"/>
    <col min="10" max="10" width="13" style="1" customWidth="1"/>
    <col min="11" max="11" width="12" style="1" customWidth="1"/>
    <col min="12" max="12" width="15.109375" style="1" customWidth="1"/>
    <col min="13" max="13" width="8.5546875" style="1" customWidth="1"/>
    <col min="14" max="15" width="8" customWidth="1"/>
    <col min="16" max="16" width="10" customWidth="1"/>
    <col min="17" max="17" width="5" customWidth="1"/>
    <col min="18" max="18" width="6.109375" customWidth="1"/>
    <col min="19" max="19" width="12" customWidth="1"/>
    <col min="20" max="20" width="12.33203125" style="2" customWidth="1"/>
    <col min="21" max="21" width="26.44140625" style="1" customWidth="1"/>
    <col min="22" max="22" width="9" style="1" customWidth="1"/>
    <col min="23" max="23" width="11.33203125" style="1" customWidth="1"/>
    <col min="24" max="24" width="10.77734375" style="1" customWidth="1"/>
    <col min="25" max="25" width="11.88671875" style="1" customWidth="1"/>
    <col min="27" max="27" width="15.5546875" customWidth="1"/>
    <col min="28" max="28" width="24.88671875" customWidth="1"/>
  </cols>
  <sheetData>
    <row r="1" spans="1:30" ht="25.95" customHeight="1" x14ac:dyDescent="0.25">
      <c r="A1" s="84"/>
      <c r="B1" s="84"/>
      <c r="C1" s="97" t="s">
        <v>31</v>
      </c>
      <c r="D1" s="98"/>
      <c r="E1" s="98"/>
      <c r="F1" s="98"/>
      <c r="G1" s="98"/>
      <c r="H1" s="99"/>
      <c r="I1" s="99"/>
      <c r="J1" s="99"/>
      <c r="K1" s="99"/>
      <c r="L1" s="99"/>
      <c r="M1" s="99"/>
      <c r="N1" s="98"/>
      <c r="O1" s="98"/>
      <c r="P1" s="98"/>
      <c r="Q1" s="98"/>
      <c r="R1" s="98"/>
      <c r="S1" s="98"/>
      <c r="T1" s="100"/>
      <c r="U1" s="99"/>
      <c r="V1" s="99"/>
      <c r="W1" s="34"/>
      <c r="X1" s="34"/>
      <c r="Y1" s="34"/>
      <c r="AA1" s="34"/>
      <c r="AB1" s="34"/>
      <c r="AC1" s="34"/>
      <c r="AD1" s="34"/>
    </row>
    <row r="2" spans="1:30" ht="24" customHeight="1" x14ac:dyDescent="0.25">
      <c r="A2" s="88" t="s">
        <v>372</v>
      </c>
      <c r="B2" s="88" t="s">
        <v>373</v>
      </c>
      <c r="C2" s="35" t="s">
        <v>32</v>
      </c>
      <c r="D2" s="16" t="s">
        <v>33</v>
      </c>
      <c r="E2" s="16" t="s">
        <v>34</v>
      </c>
      <c r="F2" s="80" t="s">
        <v>371</v>
      </c>
      <c r="G2" s="16" t="s">
        <v>35</v>
      </c>
      <c r="H2" s="16" t="s">
        <v>36</v>
      </c>
      <c r="I2" s="87" t="s">
        <v>37</v>
      </c>
      <c r="J2" s="36" t="s">
        <v>38</v>
      </c>
      <c r="K2" s="80" t="s">
        <v>39</v>
      </c>
      <c r="L2" s="37" t="s">
        <v>40</v>
      </c>
      <c r="M2" s="38" t="s">
        <v>41</v>
      </c>
      <c r="N2" s="16" t="s">
        <v>42</v>
      </c>
      <c r="O2" s="16" t="s">
        <v>43</v>
      </c>
      <c r="P2" s="16" t="s">
        <v>44</v>
      </c>
      <c r="Q2" s="16" t="s">
        <v>45</v>
      </c>
      <c r="R2" s="16" t="s">
        <v>46</v>
      </c>
      <c r="S2" s="16" t="s">
        <v>47</v>
      </c>
      <c r="T2" s="39" t="s">
        <v>48</v>
      </c>
      <c r="U2" s="39" t="s">
        <v>49</v>
      </c>
      <c r="V2" s="39" t="s">
        <v>50</v>
      </c>
      <c r="W2" s="34"/>
      <c r="X2" s="34"/>
      <c r="Y2" s="34"/>
      <c r="AA2" s="34"/>
      <c r="AB2" s="34"/>
      <c r="AC2" s="34"/>
      <c r="AD2" s="34"/>
    </row>
    <row r="3" spans="1:30" ht="18" customHeight="1" x14ac:dyDescent="0.25">
      <c r="A3" s="85"/>
      <c r="B3" s="85"/>
      <c r="C3" s="40"/>
      <c r="D3" s="40" t="s">
        <v>51</v>
      </c>
      <c r="E3" s="40" t="s">
        <v>52</v>
      </c>
      <c r="F3" s="89" t="s">
        <v>53</v>
      </c>
      <c r="G3" s="89" t="s">
        <v>53</v>
      </c>
      <c r="H3" s="40" t="s">
        <v>53</v>
      </c>
      <c r="I3" s="41" t="s">
        <v>53</v>
      </c>
      <c r="J3" s="41" t="s">
        <v>54</v>
      </c>
      <c r="K3" s="40" t="s">
        <v>55</v>
      </c>
      <c r="L3" s="42" t="s">
        <v>56</v>
      </c>
      <c r="M3" s="42" t="s">
        <v>57</v>
      </c>
      <c r="N3" s="40" t="s">
        <v>58</v>
      </c>
      <c r="O3" s="40" t="s">
        <v>59</v>
      </c>
      <c r="P3" s="40" t="s">
        <v>60</v>
      </c>
      <c r="Q3" s="40" t="s">
        <v>60</v>
      </c>
      <c r="R3" s="40" t="s">
        <v>61</v>
      </c>
      <c r="S3" s="40" t="s">
        <v>62</v>
      </c>
      <c r="T3" s="40" t="s">
        <v>63</v>
      </c>
      <c r="U3" s="40" t="s">
        <v>64</v>
      </c>
      <c r="V3" s="40" t="s">
        <v>65</v>
      </c>
      <c r="W3" s="61" t="s">
        <v>357</v>
      </c>
      <c r="X3" s="61" t="s">
        <v>355</v>
      </c>
      <c r="Y3" s="61" t="s">
        <v>356</v>
      </c>
      <c r="AA3" s="34"/>
      <c r="AB3" s="34"/>
      <c r="AC3" s="34"/>
      <c r="AD3" s="34"/>
    </row>
    <row r="4" spans="1:30" ht="18" customHeight="1" x14ac:dyDescent="0.25">
      <c r="A4" s="86"/>
      <c r="B4" s="86"/>
      <c r="C4" s="83"/>
      <c r="D4" s="17"/>
      <c r="E4" s="43" t="str">
        <f>IF(G4*H4=0,"",ROUND(G4*H4,2))</f>
        <v/>
      </c>
      <c r="F4" s="43"/>
      <c r="G4" s="27"/>
      <c r="H4" s="27"/>
      <c r="I4" s="27"/>
      <c r="J4" s="44" t="str">
        <f>IFERROR(VLOOKUP(D4,NBR!$C:$E,3,0),"")</f>
        <v/>
      </c>
      <c r="K4" s="43" t="str">
        <f>IF(AND(E4&lt;&gt;"",F4&lt;&gt;"",I4&lt;&gt;"", F4&lt;&gt;0, I4&lt;&gt;0), E4/(F4/2*I4), "")</f>
        <v/>
      </c>
      <c r="L4" s="45"/>
      <c r="M4" s="46" t="str">
        <f>IFERROR(VLOOKUP(L4,#REF!,2,0),"")</f>
        <v/>
      </c>
      <c r="N4" s="27"/>
      <c r="O4" s="27"/>
      <c r="P4" s="45" t="str">
        <f>IF(AND(E4&lt;&gt;"",J4&lt;&gt;"",M4&lt;&gt;"",N4&lt;&gt;"",O4&lt;&gt;"",N4&lt;&gt;0,O4&lt;&gt;0), ROUNDUP((E4*J4)/(M4*N4*O4),0), "")</f>
        <v/>
      </c>
      <c r="Q4" s="29"/>
      <c r="R4" s="47" t="str">
        <f>IFERROR(VLOOKUP(L4,#REF!,4,0),"")</f>
        <v/>
      </c>
      <c r="S4" s="48"/>
      <c r="T4" s="49"/>
      <c r="U4" s="17"/>
      <c r="V4" s="48"/>
      <c r="W4" s="57"/>
      <c r="X4" s="55"/>
      <c r="Y4" s="56"/>
      <c r="AA4" s="34"/>
      <c r="AB4" s="34"/>
      <c r="AC4" s="34"/>
      <c r="AD4" s="34"/>
    </row>
    <row r="5" spans="1:30" ht="18" customHeight="1" x14ac:dyDescent="0.25">
      <c r="A5" s="85"/>
      <c r="B5" s="85"/>
      <c r="C5" s="58"/>
      <c r="D5" s="59"/>
      <c r="E5" s="50"/>
      <c r="F5" s="50"/>
      <c r="G5" s="51"/>
      <c r="H5" s="51"/>
      <c r="I5" s="51"/>
      <c r="J5" s="44" t="str">
        <f>IFERROR(VLOOKUP(D5,NBR!$C:$E,3,0),"")</f>
        <v/>
      </c>
      <c r="K5" s="50" t="str">
        <f>IF(E5*F5*I5=0,"",(4*E5)/((F5)*I5))</f>
        <v/>
      </c>
      <c r="L5" s="82"/>
      <c r="M5" s="46" t="str">
        <f>IFERROR(VLOOKUP(L5,LAMPADAS!$A:$B,2,0),"")</f>
        <v/>
      </c>
      <c r="N5" s="51"/>
      <c r="O5" s="51"/>
      <c r="P5" s="50" t="str">
        <f>IF(AND(E5&lt;&gt;"",J5&lt;&gt;"",M5&lt;&gt;"",N5&lt;&gt;"",O5&lt;&gt;"",N5&lt;&gt;0,O5&lt;&gt;0), ROUNDUP((E5*J5)/(M5*N5*O5),0), "")</f>
        <v/>
      </c>
      <c r="Q5" s="31"/>
      <c r="R5" s="47" t="str">
        <f>IFERROR(VLOOKUP(L5,LAMPADAS!$A:$D,4,0),"")</f>
        <v/>
      </c>
      <c r="S5" s="53" t="str">
        <f>IF(AND(Q5&lt;&gt;"",R5&lt;&gt;""),Q5*R5,"")</f>
        <v/>
      </c>
      <c r="T5" s="54" t="str">
        <f>IF(AND(E5&lt;&gt;"",J5&lt;&gt;"",Q5&lt;&gt;"",M5&lt;&gt;"",N5&lt;&gt;"",O5&lt;&gt;""),IF(E5*J5=0,"—",IF((Q5*M5*N5*O5)/E5&lt;J5*0.9,"INSUFICIENTE -"&amp;TEXT(ABS(((Q5*M5*N5*O5)/E5-J5)/J5)*100,"0")&amp;"%",IF((Q5*M5*N5*O5)/E5&gt;J5*1.31,"ACIMA +"&amp;TEXT((((Q5*M5*N5*O5)/E5-J5)/J5)*100,"0")&amp;"%","OK "&amp;IF((Q5*M5*N5*O5)/E5&gt;=J5,"+","")&amp;TEXT((((Q5*M5*N5*O5)/E5-J5)/J5)*100,"0")&amp;"%"))),"")</f>
        <v/>
      </c>
      <c r="U5" s="22" t="e">
        <f>IF(E5*J5*M5=0,"",IF((Q5*M5*N5*O5)/E5&lt;IF(IFERROR(VLOOKUP(D5,NBR!$C:$D,2,0),J5)=IFERROR(VLOOKUP(D5,NBR!$C:$F,4,0),J5),J5*0.9,IFERROR(VLOOKUP(D5,NBR!$C:$D,2,0),J5*0.9)),"COLOCAR +"&amp;TEXT(ROUNDUP((E5*J5)/(M5*N5*O5),0)-Q5,"0")&amp;" luminaria(s)",IF((Q5*M5*N5*O5)/E5&gt;IF(IFERROR(VLOOKUP(D5,NBR!$C:$F,4,0),J5)=IFERROR(VLOOKUP(D5,NBR!$C:$D,2,0),J5),J5*1.2,IFERROR(VLOOKUP(D5,NBR!$C:$F,4,0),J5*1.2)),IF(Q5=1,"Reduzir potencia luminaria","RETIRAR -"&amp;TEXT(Q5-ROUNDUP((E5*IF(IFERROR(VLOOKUP(D5,NBR!$C:$F,4,0),J5)=J5,J5*1.2,IFERROR(VLOOKUP(D5,NBR!$C:$F,4,0),J5*1.2)))/(M5*N5*O5),0),"0")&amp;" luminaria(s)"),"OK")))</f>
        <v>#VALUE!</v>
      </c>
      <c r="V5" s="52" t="e">
        <f t="shared" ref="V5:V68" si="0">IF(E5*M5=0,"",ROUND((Q5*M5*N5*O5)/E5,0))</f>
        <v>#VALUE!</v>
      </c>
      <c r="W5" s="60" t="str">
        <f>IFERROR(VLOOKUP(D5,NBR!$C:$F,3,0),"")</f>
        <v/>
      </c>
      <c r="X5" s="60" t="str">
        <f>IFERROR(VLOOKUP(D5,NBR!$C:$F,4,0),"")</f>
        <v/>
      </c>
      <c r="Y5" s="60" t="str">
        <f>IFERROR(VLOOKUP(D5,NBR!$C:$F,2,0),"")</f>
        <v/>
      </c>
      <c r="AA5" s="61"/>
      <c r="AB5" s="34"/>
      <c r="AC5" s="34"/>
      <c r="AD5" s="34"/>
    </row>
    <row r="6" spans="1:30" ht="18" customHeight="1" x14ac:dyDescent="0.25">
      <c r="A6" s="86"/>
      <c r="B6" s="86"/>
      <c r="C6" s="83"/>
      <c r="D6" s="17"/>
      <c r="E6" s="43"/>
      <c r="F6" s="43"/>
      <c r="G6" s="27"/>
      <c r="H6" s="27"/>
      <c r="I6" s="27"/>
      <c r="J6" s="44" t="str">
        <f>IFERROR(VLOOKUP(D6,NBR!$C:$E,3,0),"")</f>
        <v/>
      </c>
      <c r="K6" s="43" t="str">
        <f>IF(E6*F6*I6=0,"",(4*E6)/((F6)*I6))</f>
        <v/>
      </c>
      <c r="L6" s="45"/>
      <c r="M6" s="46" t="str">
        <f>IFERROR(VLOOKUP(L6,LAMPADAS!$A:$B,2,0),"")</f>
        <v/>
      </c>
      <c r="N6" s="27"/>
      <c r="O6" s="27"/>
      <c r="P6" s="45" t="str">
        <f t="shared" ref="P6:P69" si="1">IF(AND(E6&lt;&gt;"",J6&lt;&gt;"",M6&lt;&gt;"",N6&lt;&gt;"",O6&lt;&gt;"",N6&lt;&gt;0,O6&lt;&gt;0), ROUNDUP((E6*J6)/(M6*N6*O6),0), "")</f>
        <v/>
      </c>
      <c r="Q6" s="29"/>
      <c r="R6" s="47" t="str">
        <f>IFERROR(VLOOKUP(L6,LAMPADAS!$A:$D,4,0),"")</f>
        <v/>
      </c>
      <c r="S6" s="48" t="str">
        <f t="shared" ref="S6:S69" si="2">IF(AND(Q6&lt;&gt;"",R6&lt;&gt;""),Q6*R6,"")</f>
        <v/>
      </c>
      <c r="T6" s="49" t="e">
        <f t="shared" ref="T6:T69" si="3">IF(E6*J6=0,"—",IF((Q6*M6*N6*O6)/E6&lt;J6*0.9,"INSUFICIENTE -"&amp;TEXT(ABS(((Q6*M6*N6*O6)/E6-J6)/J6)*100,"0")&amp;"%",IF((Q6*M6*N6*O6)/E6&gt;J6*1.31,"ACIMA +"&amp;TEXT((((Q6*M6*N6*O6)/E6-J6)/J6)*100,"0")&amp;"%","OK "&amp;IF((Q6*M6*N6*O6)/E6&gt;=J6,"+","")&amp;TEXT((((Q6*M6*N6*O6)/E6-J6)/J6)*100,"0")&amp;"%")))</f>
        <v>#VALUE!</v>
      </c>
      <c r="U6" s="17" t="e">
        <f>IF(E6*J6*M6=0,"",IF((Q6*M6*N6*O6)/E6&lt;IF(IFERROR(VLOOKUP(D6,NBR!$C:$D,2,0),J6)=IFERROR(VLOOKUP(D6,NBR!$C:$F,4,0),J6),J6*0.9,IFERROR(VLOOKUP(D6,NBR!$C:$D,2,0),J6*0.9)),"COLOCAR +"&amp;TEXT(ROUNDUP((E6*J6)/(M6*N6*O6),0)-Q6,"0")&amp;" luminaria(s)",IF((Q6*M6*N6*O6)/E6&gt;IF(IFERROR(VLOOKUP(D6,NBR!$C:$F,4,0),J6)=IFERROR(VLOOKUP(D6,NBR!$C:$D,2,0),J6),J6*1.2,IFERROR(VLOOKUP(D6,NBR!$C:$F,4,0),J6*1.2)),IF(Q6=1,"Reduzir potencia luminaria","RETIRAR -"&amp;TEXT(Q6-ROUNDUP((E6*IF(IFERROR(VLOOKUP(D6,NBR!$C:$F,4,0),J6)=J6,J6*1.2,IFERROR(VLOOKUP(D6,NBR!$C:$F,4,0),J6*1.2)))/(M6*N6*O6),0),"0")&amp;" luminaria(s)"),"OK")))</f>
        <v>#VALUE!</v>
      </c>
      <c r="V6" s="48" t="e">
        <f t="shared" si="0"/>
        <v>#VALUE!</v>
      </c>
      <c r="W6" s="57" t="str">
        <f>IFERROR(VLOOKUP(D6,NBR!$C:$F,3,0),"")</f>
        <v/>
      </c>
      <c r="X6" s="55" t="str">
        <f>IFERROR(VLOOKUP(D6,NBR!$C:$F,4,0),"")</f>
        <v/>
      </c>
      <c r="Y6" s="56" t="str">
        <f>IFERROR(VLOOKUP(D6,NBR!$C:$F,2,0),"")</f>
        <v/>
      </c>
      <c r="AA6" s="34"/>
      <c r="AB6" s="34"/>
      <c r="AC6" s="34"/>
      <c r="AD6" s="34"/>
    </row>
    <row r="7" spans="1:30" ht="18" customHeight="1" x14ac:dyDescent="0.25">
      <c r="A7" s="85"/>
      <c r="B7" s="85"/>
      <c r="C7" s="58"/>
      <c r="D7" s="59"/>
      <c r="E7" s="50"/>
      <c r="F7" s="50"/>
      <c r="G7" s="51"/>
      <c r="H7" s="51"/>
      <c r="I7" s="51"/>
      <c r="J7" s="44" t="str">
        <f>IFERROR(VLOOKUP(D7,NBR!$C:$E,3,0),"")</f>
        <v/>
      </c>
      <c r="K7" s="50" t="str">
        <f t="shared" ref="K7:K70" si="4">IF(E7*F7*I7=0,"",(4*E7)/((F7)*I7))</f>
        <v/>
      </c>
      <c r="L7" s="82"/>
      <c r="M7" s="46" t="str">
        <f>IFERROR(VLOOKUP(L7,LAMPADAS!$A:$B,2,0),"")</f>
        <v/>
      </c>
      <c r="N7" s="51"/>
      <c r="O7" s="51"/>
      <c r="P7" s="50" t="str">
        <f t="shared" si="1"/>
        <v/>
      </c>
      <c r="Q7" s="31"/>
      <c r="R7" s="47" t="str">
        <f>IFERROR(VLOOKUP(L7,LAMPADAS!$A:$D,4,0),"")</f>
        <v/>
      </c>
      <c r="S7" s="53" t="str">
        <f t="shared" si="2"/>
        <v/>
      </c>
      <c r="T7" s="54" t="e">
        <f t="shared" si="3"/>
        <v>#VALUE!</v>
      </c>
      <c r="U7" s="22" t="e">
        <f>IF(E7*J7*M7=0,"",IF((Q7*M7*N7*O7)/E7&lt;IF(IFERROR(VLOOKUP(D7,NBR!$C:$D,2,0),J7)=IFERROR(VLOOKUP(D7,NBR!$C:$F,4,0),J7),J7*0.9,IFERROR(VLOOKUP(D7,NBR!$C:$D,2,0),J7*0.9)),"COLOCAR +"&amp;TEXT(ROUNDUP((E7*J7)/(M7*N7*O7),0)-Q7,"0")&amp;" luminaria(s)",IF((Q7*M7*N7*O7)/E7&gt;IF(IFERROR(VLOOKUP(D7,NBR!$C:$F,4,0),J7)=IFERROR(VLOOKUP(D7,NBR!$C:$D,2,0),J7),J7*1.2,IFERROR(VLOOKUP(D7,NBR!$C:$F,4,0),J7*1.2)),IF(Q7=1,"Reduzir potencia luminaria","RETIRAR -"&amp;TEXT(Q7-ROUNDUP((E7*IF(IFERROR(VLOOKUP(D7,NBR!$C:$F,4,0),J7)=J7,J7*1.2,IFERROR(VLOOKUP(D7,NBR!$C:$F,4,0),J7*1.2)))/(M7*N7*O7),0),"0")&amp;" luminaria(s)"),"OK")))</f>
        <v>#VALUE!</v>
      </c>
      <c r="V7" s="52" t="e">
        <f t="shared" si="0"/>
        <v>#VALUE!</v>
      </c>
      <c r="W7" s="60" t="str">
        <f>IFERROR(VLOOKUP(D7,NBR!$C:$F,3,0),"")</f>
        <v/>
      </c>
      <c r="X7" s="60" t="str">
        <f>IFERROR(VLOOKUP(D7,NBR!$C:$F,4,0),"")</f>
        <v/>
      </c>
      <c r="Y7" s="60" t="str">
        <f>IFERROR(VLOOKUP(D7,NBR!$C:$F,2,0),"")</f>
        <v/>
      </c>
      <c r="AA7" s="61"/>
      <c r="AB7" s="34"/>
      <c r="AC7" s="34"/>
      <c r="AD7" s="34"/>
    </row>
    <row r="8" spans="1:30" ht="18" customHeight="1" x14ac:dyDescent="0.25">
      <c r="A8" s="86"/>
      <c r="B8" s="86"/>
      <c r="C8" s="83"/>
      <c r="D8" s="17"/>
      <c r="E8" s="43"/>
      <c r="F8" s="43"/>
      <c r="G8" s="27"/>
      <c r="H8" s="27"/>
      <c r="I8" s="27"/>
      <c r="J8" s="44" t="str">
        <f>IFERROR(VLOOKUP(D8,NBR!$C:$E,3,0),"")</f>
        <v/>
      </c>
      <c r="K8" s="43" t="str">
        <f t="shared" si="4"/>
        <v/>
      </c>
      <c r="L8" s="45"/>
      <c r="M8" s="46" t="str">
        <f>IFERROR(VLOOKUP(L8,LAMPADAS!$A:$B,2,0),"")</f>
        <v/>
      </c>
      <c r="N8" s="27"/>
      <c r="O8" s="27"/>
      <c r="P8" s="45" t="str">
        <f t="shared" si="1"/>
        <v/>
      </c>
      <c r="Q8" s="29"/>
      <c r="R8" s="47" t="str">
        <f>IFERROR(VLOOKUP(L8,LAMPADAS!$A:$D,4,0),"")</f>
        <v/>
      </c>
      <c r="S8" s="48" t="str">
        <f t="shared" si="2"/>
        <v/>
      </c>
      <c r="T8" s="49" t="e">
        <f t="shared" si="3"/>
        <v>#VALUE!</v>
      </c>
      <c r="U8" s="17" t="e">
        <f>IF(E8*J8*M8=0,"",IF((Q8*M8*N8*O8)/E8&lt;IF(IFERROR(VLOOKUP(D8,NBR!$C:$D,2,0),J8)=IFERROR(VLOOKUP(D8,NBR!$C:$F,4,0),J8),J8*0.9,IFERROR(VLOOKUP(D8,NBR!$C:$D,2,0),J8*0.9)),"COLOCAR +"&amp;TEXT(ROUNDUP((E8*J8)/(M8*N8*O8),0)-Q8,"0")&amp;" luminaria(s)",IF((Q8*M8*N8*O8)/E8&gt;IF(IFERROR(VLOOKUP(D8,NBR!$C:$F,4,0),J8)=IFERROR(VLOOKUP(D8,NBR!$C:$D,2,0),J8),J8*1.2,IFERROR(VLOOKUP(D8,NBR!$C:$F,4,0),J8*1.2)),IF(Q8=1,"Reduzir potencia luminaria","RETIRAR -"&amp;TEXT(Q8-ROUNDUP((E8*IF(IFERROR(VLOOKUP(D8,NBR!$C:$F,4,0),J8)=J8,J8*1.2,IFERROR(VLOOKUP(D8,NBR!$C:$F,4,0),J8*1.2)))/(M8*N8*O8),0),"0")&amp;" luminaria(s)"),"OK")))</f>
        <v>#VALUE!</v>
      </c>
      <c r="V8" s="48" t="e">
        <f t="shared" si="0"/>
        <v>#VALUE!</v>
      </c>
      <c r="W8" s="57" t="str">
        <f>IFERROR(VLOOKUP(D8,NBR!$C:$F,3,0),"")</f>
        <v/>
      </c>
      <c r="X8" s="55" t="str">
        <f>IFERROR(VLOOKUP(D8,NBR!$C:$F,4,0),"")</f>
        <v/>
      </c>
      <c r="Y8" s="56" t="str">
        <f>IFERROR(VLOOKUP(D8,NBR!$C:$F,2,0),"")</f>
        <v/>
      </c>
      <c r="AA8" s="34"/>
      <c r="AB8" s="34"/>
      <c r="AC8" s="34"/>
      <c r="AD8" s="34"/>
    </row>
    <row r="9" spans="1:30" ht="18" customHeight="1" x14ac:dyDescent="0.25">
      <c r="A9" s="85"/>
      <c r="B9" s="85"/>
      <c r="C9" s="58"/>
      <c r="D9" s="59"/>
      <c r="E9" s="50"/>
      <c r="F9" s="50"/>
      <c r="G9" s="51"/>
      <c r="H9" s="51"/>
      <c r="I9" s="51"/>
      <c r="J9" s="44" t="str">
        <f>IFERROR(VLOOKUP(D9,NBR!$C:$E,3,0),"")</f>
        <v/>
      </c>
      <c r="K9" s="50" t="str">
        <f t="shared" si="4"/>
        <v/>
      </c>
      <c r="L9" s="82"/>
      <c r="M9" s="46" t="str">
        <f>IFERROR(VLOOKUP(L9,LAMPADAS!$A:$B,2,0),"")</f>
        <v/>
      </c>
      <c r="N9" s="51"/>
      <c r="O9" s="51"/>
      <c r="P9" s="50" t="str">
        <f t="shared" si="1"/>
        <v/>
      </c>
      <c r="Q9" s="31"/>
      <c r="R9" s="47" t="str">
        <f>IFERROR(VLOOKUP(L9,LAMPADAS!$A:$D,4,0),"")</f>
        <v/>
      </c>
      <c r="S9" s="53" t="str">
        <f t="shared" si="2"/>
        <v/>
      </c>
      <c r="T9" s="54" t="e">
        <f t="shared" si="3"/>
        <v>#VALUE!</v>
      </c>
      <c r="U9" s="22" t="e">
        <f>IF(E9*J9*M9=0,"",IF((Q9*M9*N9*O9)/E9&lt;IF(IFERROR(VLOOKUP(D9,NBR!$C:$D,2,0),J9)=IFERROR(VLOOKUP(D9,NBR!$C:$F,4,0),J9),J9*0.9,IFERROR(VLOOKUP(D9,NBR!$C:$D,2,0),J9*0.9)),"COLOCAR +"&amp;TEXT(ROUNDUP((E9*J9)/(M9*N9*O9),0)-Q9,"0")&amp;" luminaria(s)",IF((Q9*M9*N9*O9)/E9&gt;IF(IFERROR(VLOOKUP(D9,NBR!$C:$F,4,0),J9)=IFERROR(VLOOKUP(D9,NBR!$C:$D,2,0),J9),J9*1.2,IFERROR(VLOOKUP(D9,NBR!$C:$F,4,0),J9*1.2)),IF(Q9=1,"Reduzir potencia luminaria","RETIRAR -"&amp;TEXT(Q9-ROUNDUP((E9*IF(IFERROR(VLOOKUP(D9,NBR!$C:$F,4,0),J9)=J9,J9*1.2,IFERROR(VLOOKUP(D9,NBR!$C:$F,4,0),J9*1.2)))/(M9*N9*O9),0),"0")&amp;" luminaria(s)"),"OK")))</f>
        <v>#VALUE!</v>
      </c>
      <c r="V9" s="52" t="e">
        <f t="shared" si="0"/>
        <v>#VALUE!</v>
      </c>
      <c r="W9" s="60" t="str">
        <f>IFERROR(VLOOKUP(D9,NBR!$C:$F,3,0),"")</f>
        <v/>
      </c>
      <c r="X9" s="60" t="str">
        <f>IFERROR(VLOOKUP(D9,NBR!$C:$F,4,0),"")</f>
        <v/>
      </c>
      <c r="Y9" s="60" t="str">
        <f>IFERROR(VLOOKUP(D9,NBR!$C:$F,2,0),"")</f>
        <v/>
      </c>
      <c r="AA9" s="61"/>
      <c r="AB9" s="34"/>
      <c r="AC9" s="34"/>
      <c r="AD9" s="34"/>
    </row>
    <row r="10" spans="1:30" ht="18" customHeight="1" x14ac:dyDescent="0.25">
      <c r="A10" s="86"/>
      <c r="B10" s="86"/>
      <c r="C10" s="83"/>
      <c r="D10" s="17"/>
      <c r="E10" s="43"/>
      <c r="F10" s="43"/>
      <c r="G10" s="27"/>
      <c r="H10" s="27"/>
      <c r="I10" s="27"/>
      <c r="J10" s="44" t="str">
        <f>IFERROR(VLOOKUP(D10,NBR!$C:$E,3,0),"")</f>
        <v/>
      </c>
      <c r="K10" s="43" t="str">
        <f t="shared" si="4"/>
        <v/>
      </c>
      <c r="L10" s="45"/>
      <c r="M10" s="46" t="str">
        <f>IFERROR(VLOOKUP(L10,LAMPADAS!$A:$B,2,0),"")</f>
        <v/>
      </c>
      <c r="N10" s="27"/>
      <c r="O10" s="27"/>
      <c r="P10" s="45" t="str">
        <f t="shared" si="1"/>
        <v/>
      </c>
      <c r="Q10" s="29"/>
      <c r="R10" s="47" t="str">
        <f>IFERROR(VLOOKUP(L10,LAMPADAS!$A:$D,4,0),"")</f>
        <v/>
      </c>
      <c r="S10" s="48" t="str">
        <f t="shared" si="2"/>
        <v/>
      </c>
      <c r="T10" s="49" t="e">
        <f t="shared" si="3"/>
        <v>#VALUE!</v>
      </c>
      <c r="U10" s="17" t="e">
        <f>IF(E10*J10*M10=0,"",IF((Q10*M10*N10*O10)/E10&lt;IF(IFERROR(VLOOKUP(D10,NBR!$C:$D,2,0),J10)=IFERROR(VLOOKUP(D10,NBR!$C:$F,4,0),J10),J10*0.9,IFERROR(VLOOKUP(D10,NBR!$C:$D,2,0),J10*0.9)),"COLOCAR +"&amp;TEXT(ROUNDUP((E10*J10)/(M10*N10*O10),0)-Q10,"0")&amp;" luminaria(s)",IF((Q10*M10*N10*O10)/E10&gt;IF(IFERROR(VLOOKUP(D10,NBR!$C:$F,4,0),J10)=IFERROR(VLOOKUP(D10,NBR!$C:$D,2,0),J10),J10*1.2,IFERROR(VLOOKUP(D10,NBR!$C:$F,4,0),J10*1.2)),IF(Q10=1,"Reduzir potencia luminaria","RETIRAR -"&amp;TEXT(Q10-ROUNDUP((E10*IF(IFERROR(VLOOKUP(D10,NBR!$C:$F,4,0),J10)=J10,J10*1.2,IFERROR(VLOOKUP(D10,NBR!$C:$F,4,0),J10*1.2)))/(M10*N10*O10),0),"0")&amp;" luminaria(s)"),"OK")))</f>
        <v>#VALUE!</v>
      </c>
      <c r="V10" s="48" t="e">
        <f t="shared" si="0"/>
        <v>#VALUE!</v>
      </c>
      <c r="W10" s="57" t="str">
        <f>IFERROR(VLOOKUP(D10,NBR!$C:$F,3,0),"")</f>
        <v/>
      </c>
      <c r="X10" s="55" t="str">
        <f>IFERROR(VLOOKUP(D10,NBR!$C:$F,4,0),"")</f>
        <v/>
      </c>
      <c r="Y10" s="56" t="str">
        <f>IFERROR(VLOOKUP(D10,NBR!$C:$F,2,0),"")</f>
        <v/>
      </c>
      <c r="AA10" s="34"/>
      <c r="AB10" s="34"/>
      <c r="AC10" s="34"/>
      <c r="AD10" s="34"/>
    </row>
    <row r="11" spans="1:30" ht="18" customHeight="1" x14ac:dyDescent="0.25">
      <c r="A11" s="85"/>
      <c r="B11" s="85"/>
      <c r="C11" s="58"/>
      <c r="D11" s="59"/>
      <c r="E11" s="50"/>
      <c r="F11" s="50"/>
      <c r="G11" s="51"/>
      <c r="H11" s="51"/>
      <c r="I11" s="51"/>
      <c r="J11" s="44" t="str">
        <f>IFERROR(VLOOKUP(D11,NBR!$C:$E,3,0),"")</f>
        <v/>
      </c>
      <c r="K11" s="50" t="str">
        <f t="shared" si="4"/>
        <v/>
      </c>
      <c r="L11" s="82"/>
      <c r="M11" s="46" t="str">
        <f>IFERROR(VLOOKUP(L11,LAMPADAS!$A:$B,2,0),"")</f>
        <v/>
      </c>
      <c r="N11" s="51"/>
      <c r="O11" s="51"/>
      <c r="P11" s="50" t="str">
        <f t="shared" si="1"/>
        <v/>
      </c>
      <c r="Q11" s="31"/>
      <c r="R11" s="47" t="str">
        <f>IFERROR(VLOOKUP(L11,LAMPADAS!$A:$D,4,0),"")</f>
        <v/>
      </c>
      <c r="S11" s="53" t="str">
        <f t="shared" si="2"/>
        <v/>
      </c>
      <c r="T11" s="54" t="e">
        <f t="shared" si="3"/>
        <v>#VALUE!</v>
      </c>
      <c r="U11" s="22" t="e">
        <f>IF(E11*J11*M11=0,"",IF((Q11*M11*N11*O11)/E11&lt;IF(IFERROR(VLOOKUP(D11,NBR!$C:$D,2,0),J11)=IFERROR(VLOOKUP(D11,NBR!$C:$F,4,0),J11),J11*0.9,IFERROR(VLOOKUP(D11,NBR!$C:$D,2,0),J11*0.9)),"COLOCAR +"&amp;TEXT(ROUNDUP((E11*J11)/(M11*N11*O11),0)-Q11,"0")&amp;" luminaria(s)",IF((Q11*M11*N11*O11)/E11&gt;IF(IFERROR(VLOOKUP(D11,NBR!$C:$F,4,0),J11)=IFERROR(VLOOKUP(D11,NBR!$C:$D,2,0),J11),J11*1.2,IFERROR(VLOOKUP(D11,NBR!$C:$F,4,0),J11*1.2)),IF(Q11=1,"Reduzir potencia luminaria","RETIRAR -"&amp;TEXT(Q11-ROUNDUP((E11*IF(IFERROR(VLOOKUP(D11,NBR!$C:$F,4,0),J11)=J11,J11*1.2,IFERROR(VLOOKUP(D11,NBR!$C:$F,4,0),J11*1.2)))/(M11*N11*O11),0),"0")&amp;" luminaria(s)"),"OK")))</f>
        <v>#VALUE!</v>
      </c>
      <c r="V11" s="52" t="e">
        <f t="shared" si="0"/>
        <v>#VALUE!</v>
      </c>
      <c r="W11" s="60" t="str">
        <f>IFERROR(VLOOKUP(D11,NBR!$C:$F,3,0),"")</f>
        <v/>
      </c>
      <c r="X11" s="60" t="str">
        <f>IFERROR(VLOOKUP(D11,NBR!$C:$F,4,0),"")</f>
        <v/>
      </c>
      <c r="Y11" s="60" t="str">
        <f>IFERROR(VLOOKUP(D11,NBR!$C:$F,2,0),"")</f>
        <v/>
      </c>
      <c r="AA11" s="61"/>
      <c r="AB11" s="34"/>
      <c r="AC11" s="34"/>
      <c r="AD11" s="34"/>
    </row>
    <row r="12" spans="1:30" ht="18" customHeight="1" x14ac:dyDescent="0.25">
      <c r="A12" s="86"/>
      <c r="B12" s="86"/>
      <c r="C12" s="83"/>
      <c r="D12" s="17"/>
      <c r="E12" s="43"/>
      <c r="F12" s="43"/>
      <c r="G12" s="27"/>
      <c r="H12" s="27"/>
      <c r="I12" s="27"/>
      <c r="J12" s="44" t="str">
        <f>IFERROR(VLOOKUP(D12,NBR!$C:$E,3,0),"")</f>
        <v/>
      </c>
      <c r="K12" s="43" t="str">
        <f t="shared" si="4"/>
        <v/>
      </c>
      <c r="L12" s="45"/>
      <c r="M12" s="46" t="str">
        <f>IFERROR(VLOOKUP(L12,LAMPADAS!$A:$B,2,0),"")</f>
        <v/>
      </c>
      <c r="N12" s="27"/>
      <c r="O12" s="27"/>
      <c r="P12" s="45" t="str">
        <f t="shared" si="1"/>
        <v/>
      </c>
      <c r="Q12" s="29"/>
      <c r="R12" s="47" t="str">
        <f>IFERROR(VLOOKUP(L12,LAMPADAS!$A:$D,4,0),"")</f>
        <v/>
      </c>
      <c r="S12" s="48" t="str">
        <f t="shared" si="2"/>
        <v/>
      </c>
      <c r="T12" s="49" t="e">
        <f t="shared" si="3"/>
        <v>#VALUE!</v>
      </c>
      <c r="U12" s="17" t="e">
        <f>IF(E12*J12*M12=0,"",IF((Q12*M12*N12*O12)/E12&lt;IF(IFERROR(VLOOKUP(D12,NBR!$C:$D,2,0),J12)=IFERROR(VLOOKUP(D12,NBR!$C:$F,4,0),J12),J12*0.9,IFERROR(VLOOKUP(D12,NBR!$C:$D,2,0),J12*0.9)),"COLOCAR +"&amp;TEXT(ROUNDUP((E12*J12)/(M12*N12*O12),0)-Q12,"0")&amp;" luminaria(s)",IF((Q12*M12*N12*O12)/E12&gt;IF(IFERROR(VLOOKUP(D12,NBR!$C:$F,4,0),J12)=IFERROR(VLOOKUP(D12,NBR!$C:$D,2,0),J12),J12*1.2,IFERROR(VLOOKUP(D12,NBR!$C:$F,4,0),J12*1.2)),IF(Q12=1,"Reduzir potencia luminaria","RETIRAR -"&amp;TEXT(Q12-ROUNDUP((E12*IF(IFERROR(VLOOKUP(D12,NBR!$C:$F,4,0),J12)=J12,J12*1.2,IFERROR(VLOOKUP(D12,NBR!$C:$F,4,0),J12*1.2)))/(M12*N12*O12),0),"0")&amp;" luminaria(s)"),"OK")))</f>
        <v>#VALUE!</v>
      </c>
      <c r="V12" s="48" t="e">
        <f t="shared" si="0"/>
        <v>#VALUE!</v>
      </c>
      <c r="W12" s="57" t="str">
        <f>IFERROR(VLOOKUP(D12,NBR!$C:$F,3,0),"")</f>
        <v/>
      </c>
      <c r="X12" s="55" t="str">
        <f>IFERROR(VLOOKUP(D12,NBR!$C:$F,4,0),"")</f>
        <v/>
      </c>
      <c r="Y12" s="56" t="str">
        <f>IFERROR(VLOOKUP(D12,NBR!$C:$F,2,0),"")</f>
        <v/>
      </c>
      <c r="AA12" s="34"/>
      <c r="AB12" s="34"/>
      <c r="AC12" s="34"/>
      <c r="AD12" s="34"/>
    </row>
    <row r="13" spans="1:30" ht="18" customHeight="1" x14ac:dyDescent="0.25">
      <c r="A13" s="85"/>
      <c r="B13" s="85"/>
      <c r="C13" s="58"/>
      <c r="D13" s="59"/>
      <c r="E13" s="50"/>
      <c r="F13" s="50"/>
      <c r="G13" s="51"/>
      <c r="H13" s="51"/>
      <c r="I13" s="51"/>
      <c r="J13" s="44" t="str">
        <f>IFERROR(VLOOKUP(D13,NBR!$C:$E,3,0),"")</f>
        <v/>
      </c>
      <c r="K13" s="50" t="str">
        <f t="shared" si="4"/>
        <v/>
      </c>
      <c r="L13" s="82"/>
      <c r="M13" s="46" t="str">
        <f>IFERROR(VLOOKUP(L13,LAMPADAS!$A:$B,2,0),"")</f>
        <v/>
      </c>
      <c r="N13" s="51"/>
      <c r="O13" s="51"/>
      <c r="P13" s="50" t="str">
        <f t="shared" si="1"/>
        <v/>
      </c>
      <c r="Q13" s="31"/>
      <c r="R13" s="47" t="str">
        <f>IFERROR(VLOOKUP(L13,LAMPADAS!$A:$D,4,0),"")</f>
        <v/>
      </c>
      <c r="S13" s="53" t="str">
        <f t="shared" si="2"/>
        <v/>
      </c>
      <c r="T13" s="54" t="e">
        <f t="shared" si="3"/>
        <v>#VALUE!</v>
      </c>
      <c r="U13" s="22" t="e">
        <f>IF(E13*J13*M13=0,"",IF((Q13*M13*N13*O13)/E13&lt;IF(IFERROR(VLOOKUP(D13,NBR!$C:$D,2,0),J13)=IFERROR(VLOOKUP(D13,NBR!$C:$F,4,0),J13),J13*0.9,IFERROR(VLOOKUP(D13,NBR!$C:$D,2,0),J13*0.9)),"COLOCAR +"&amp;TEXT(ROUNDUP((E13*J13)/(M13*N13*O13),0)-Q13,"0")&amp;" luminaria(s)",IF((Q13*M13*N13*O13)/E13&gt;IF(IFERROR(VLOOKUP(D13,NBR!$C:$F,4,0),J13)=IFERROR(VLOOKUP(D13,NBR!$C:$D,2,0),J13),J13*1.2,IFERROR(VLOOKUP(D13,NBR!$C:$F,4,0),J13*1.2)),IF(Q13=1,"Reduzir potencia luminaria","RETIRAR -"&amp;TEXT(Q13-ROUNDUP((E13*IF(IFERROR(VLOOKUP(D13,NBR!$C:$F,4,0),J13)=J13,J13*1.2,IFERROR(VLOOKUP(D13,NBR!$C:$F,4,0),J13*1.2)))/(M13*N13*O13),0),"0")&amp;" luminaria(s)"),"OK")))</f>
        <v>#VALUE!</v>
      </c>
      <c r="V13" s="52" t="e">
        <f t="shared" si="0"/>
        <v>#VALUE!</v>
      </c>
      <c r="W13" s="60" t="str">
        <f>IFERROR(VLOOKUP(D13,NBR!$C:$F,3,0),"")</f>
        <v/>
      </c>
      <c r="X13" s="60" t="str">
        <f>IFERROR(VLOOKUP(D13,NBR!$C:$F,4,0),"")</f>
        <v/>
      </c>
      <c r="Y13" s="60" t="str">
        <f>IFERROR(VLOOKUP(D13,NBR!$C:$F,2,0),"")</f>
        <v/>
      </c>
      <c r="AA13" s="61"/>
      <c r="AB13" s="34"/>
      <c r="AC13" s="34"/>
      <c r="AD13" s="34"/>
    </row>
    <row r="14" spans="1:30" ht="18" customHeight="1" x14ac:dyDescent="0.25">
      <c r="A14" s="86"/>
      <c r="B14" s="86"/>
      <c r="C14" s="83"/>
      <c r="D14" s="17"/>
      <c r="E14" s="43"/>
      <c r="F14" s="43"/>
      <c r="G14" s="27"/>
      <c r="H14" s="27"/>
      <c r="I14" s="27"/>
      <c r="J14" s="44" t="str">
        <f>IFERROR(VLOOKUP(D14,NBR!$C:$E,3,0),"")</f>
        <v/>
      </c>
      <c r="K14" s="43" t="str">
        <f t="shared" si="4"/>
        <v/>
      </c>
      <c r="L14" s="45"/>
      <c r="M14" s="46" t="str">
        <f>IFERROR(VLOOKUP(L14,LAMPADAS!$A:$B,2,0),"")</f>
        <v/>
      </c>
      <c r="N14" s="27"/>
      <c r="O14" s="27"/>
      <c r="P14" s="45" t="str">
        <f t="shared" si="1"/>
        <v/>
      </c>
      <c r="Q14" s="29"/>
      <c r="R14" s="47" t="str">
        <f>IFERROR(VLOOKUP(L14,LAMPADAS!$A:$D,4,0),"")</f>
        <v/>
      </c>
      <c r="S14" s="48" t="str">
        <f t="shared" si="2"/>
        <v/>
      </c>
      <c r="T14" s="49" t="e">
        <f t="shared" si="3"/>
        <v>#VALUE!</v>
      </c>
      <c r="U14" s="17" t="e">
        <f>IF(E14*J14*M14=0,"",IF((Q14*M14*N14*O14)/E14&lt;IF(IFERROR(VLOOKUP(D14,NBR!$C:$D,2,0),J14)=IFERROR(VLOOKUP(D14,NBR!$C:$F,4,0),J14),J14*0.9,IFERROR(VLOOKUP(D14,NBR!$C:$D,2,0),J14*0.9)),"COLOCAR +"&amp;TEXT(ROUNDUP((E14*J14)/(M14*N14*O14),0)-Q14,"0")&amp;" luminaria(s)",IF((Q14*M14*N14*O14)/E14&gt;IF(IFERROR(VLOOKUP(D14,NBR!$C:$F,4,0),J14)=IFERROR(VLOOKUP(D14,NBR!$C:$D,2,0),J14),J14*1.2,IFERROR(VLOOKUP(D14,NBR!$C:$F,4,0),J14*1.2)),IF(Q14=1,"Reduzir potencia luminaria","RETIRAR -"&amp;TEXT(Q14-ROUNDUP((E14*IF(IFERROR(VLOOKUP(D14,NBR!$C:$F,4,0),J14)=J14,J14*1.2,IFERROR(VLOOKUP(D14,NBR!$C:$F,4,0),J14*1.2)))/(M14*N14*O14),0),"0")&amp;" luminaria(s)"),"OK")))</f>
        <v>#VALUE!</v>
      </c>
      <c r="V14" s="48" t="e">
        <f t="shared" si="0"/>
        <v>#VALUE!</v>
      </c>
      <c r="W14" s="57" t="str">
        <f>IFERROR(VLOOKUP(D14,NBR!$C:$F,3,0),"")</f>
        <v/>
      </c>
      <c r="X14" s="55" t="str">
        <f>IFERROR(VLOOKUP(D14,NBR!$C:$F,4,0),"")</f>
        <v/>
      </c>
      <c r="Y14" s="56" t="str">
        <f>IFERROR(VLOOKUP(D14,NBR!$C:$F,2,0),"")</f>
        <v/>
      </c>
      <c r="AA14" s="34"/>
      <c r="AB14" s="34"/>
      <c r="AC14" s="34"/>
      <c r="AD14" s="34"/>
    </row>
    <row r="15" spans="1:30" ht="18" customHeight="1" x14ac:dyDescent="0.25">
      <c r="A15" s="85"/>
      <c r="B15" s="85"/>
      <c r="C15" s="58"/>
      <c r="D15" s="59"/>
      <c r="E15" s="50"/>
      <c r="F15" s="50"/>
      <c r="G15" s="51"/>
      <c r="H15" s="51"/>
      <c r="I15" s="51"/>
      <c r="J15" s="44" t="str">
        <f>IFERROR(VLOOKUP(D15,NBR!$C:$E,3,0),"")</f>
        <v/>
      </c>
      <c r="K15" s="50" t="str">
        <f t="shared" si="4"/>
        <v/>
      </c>
      <c r="L15" s="82"/>
      <c r="M15" s="46" t="str">
        <f>IFERROR(VLOOKUP(L15,LAMPADAS!$A:$B,2,0),"")</f>
        <v/>
      </c>
      <c r="N15" s="51"/>
      <c r="O15" s="51"/>
      <c r="P15" s="50" t="str">
        <f t="shared" si="1"/>
        <v/>
      </c>
      <c r="Q15" s="31"/>
      <c r="R15" s="47" t="str">
        <f>IFERROR(VLOOKUP(L15,LAMPADAS!$A:$D,4,0),"")</f>
        <v/>
      </c>
      <c r="S15" s="53" t="str">
        <f t="shared" si="2"/>
        <v/>
      </c>
      <c r="T15" s="54" t="e">
        <f t="shared" si="3"/>
        <v>#VALUE!</v>
      </c>
      <c r="U15" s="22" t="e">
        <f>IF(E15*J15*M15=0,"",IF((Q15*M15*N15*O15)/E15&lt;IF(IFERROR(VLOOKUP(D15,NBR!$C:$D,2,0),J15)=IFERROR(VLOOKUP(D15,NBR!$C:$F,4,0),J15),J15*0.9,IFERROR(VLOOKUP(D15,NBR!$C:$D,2,0),J15*0.9)),"COLOCAR +"&amp;TEXT(ROUNDUP((E15*J15)/(M15*N15*O15),0)-Q15,"0")&amp;" luminaria(s)",IF((Q15*M15*N15*O15)/E15&gt;IF(IFERROR(VLOOKUP(D15,NBR!$C:$F,4,0),J15)=IFERROR(VLOOKUP(D15,NBR!$C:$D,2,0),J15),J15*1.2,IFERROR(VLOOKUP(D15,NBR!$C:$F,4,0),J15*1.2)),IF(Q15=1,"Reduzir potencia luminaria","RETIRAR -"&amp;TEXT(Q15-ROUNDUP((E15*IF(IFERROR(VLOOKUP(D15,NBR!$C:$F,4,0),J15)=J15,J15*1.2,IFERROR(VLOOKUP(D15,NBR!$C:$F,4,0),J15*1.2)))/(M15*N15*O15),0),"0")&amp;" luminaria(s)"),"OK")))</f>
        <v>#VALUE!</v>
      </c>
      <c r="V15" s="52" t="e">
        <f t="shared" si="0"/>
        <v>#VALUE!</v>
      </c>
      <c r="W15" s="60" t="str">
        <f>IFERROR(VLOOKUP(D15,NBR!$C:$F,3,0),"")</f>
        <v/>
      </c>
      <c r="X15" s="60" t="str">
        <f>IFERROR(VLOOKUP(D15,NBR!$C:$F,4,0),"")</f>
        <v/>
      </c>
      <c r="Y15" s="60" t="str">
        <f>IFERROR(VLOOKUP(D15,NBR!$C:$F,2,0),"")</f>
        <v/>
      </c>
      <c r="AA15" s="61"/>
      <c r="AB15" s="34"/>
      <c r="AC15" s="34"/>
      <c r="AD15" s="34"/>
    </row>
    <row r="16" spans="1:30" ht="18" customHeight="1" x14ac:dyDescent="0.25">
      <c r="A16" s="86"/>
      <c r="B16" s="86"/>
      <c r="C16" s="83"/>
      <c r="D16" s="17"/>
      <c r="E16" s="43"/>
      <c r="F16" s="43"/>
      <c r="G16" s="27"/>
      <c r="H16" s="27"/>
      <c r="I16" s="27"/>
      <c r="J16" s="44" t="str">
        <f>IFERROR(VLOOKUP(D16,NBR!$C:$E,3,0),"")</f>
        <v/>
      </c>
      <c r="K16" s="43" t="str">
        <f t="shared" si="4"/>
        <v/>
      </c>
      <c r="L16" s="45"/>
      <c r="M16" s="46" t="str">
        <f>IFERROR(VLOOKUP(L16,LAMPADAS!$A:$B,2,0),"")</f>
        <v/>
      </c>
      <c r="N16" s="27"/>
      <c r="O16" s="27"/>
      <c r="P16" s="45" t="str">
        <f t="shared" si="1"/>
        <v/>
      </c>
      <c r="Q16" s="29"/>
      <c r="R16" s="47" t="str">
        <f>IFERROR(VLOOKUP(L16,LAMPADAS!$A:$D,4,0),"")</f>
        <v/>
      </c>
      <c r="S16" s="48" t="str">
        <f t="shared" si="2"/>
        <v/>
      </c>
      <c r="T16" s="49" t="e">
        <f t="shared" si="3"/>
        <v>#VALUE!</v>
      </c>
      <c r="U16" s="17" t="e">
        <f>IF(E16*J16*M16=0,"",IF((Q16*M16*N16*O16)/E16&lt;IF(IFERROR(VLOOKUP(D16,NBR!$C:$D,2,0),J16)=IFERROR(VLOOKUP(D16,NBR!$C:$F,4,0),J16),J16*0.9,IFERROR(VLOOKUP(D16,NBR!$C:$D,2,0),J16*0.9)),"COLOCAR +"&amp;TEXT(ROUNDUP((E16*J16)/(M16*N16*O16),0)-Q16,"0")&amp;" luminaria(s)",IF((Q16*M16*N16*O16)/E16&gt;IF(IFERROR(VLOOKUP(D16,NBR!$C:$F,4,0),J16)=IFERROR(VLOOKUP(D16,NBR!$C:$D,2,0),J16),J16*1.2,IFERROR(VLOOKUP(D16,NBR!$C:$F,4,0),J16*1.2)),IF(Q16=1,"Reduzir potencia luminaria","RETIRAR -"&amp;TEXT(Q16-ROUNDUP((E16*IF(IFERROR(VLOOKUP(D16,NBR!$C:$F,4,0),J16)=J16,J16*1.2,IFERROR(VLOOKUP(D16,NBR!$C:$F,4,0),J16*1.2)))/(M16*N16*O16),0),"0")&amp;" luminaria(s)"),"OK")))</f>
        <v>#VALUE!</v>
      </c>
      <c r="V16" s="48" t="e">
        <f t="shared" si="0"/>
        <v>#VALUE!</v>
      </c>
      <c r="W16" s="57" t="str">
        <f>IFERROR(VLOOKUP(D16,NBR!$C:$F,3,0),"")</f>
        <v/>
      </c>
      <c r="X16" s="55" t="str">
        <f>IFERROR(VLOOKUP(D16,NBR!$C:$F,4,0),"")</f>
        <v/>
      </c>
      <c r="Y16" s="56" t="str">
        <f>IFERROR(VLOOKUP(D16,NBR!$C:$F,2,0),"")</f>
        <v/>
      </c>
      <c r="AA16" s="34"/>
      <c r="AB16" s="34"/>
      <c r="AC16" s="34"/>
      <c r="AD16" s="34"/>
    </row>
    <row r="17" spans="1:30" ht="18" customHeight="1" x14ac:dyDescent="0.25">
      <c r="A17" s="85"/>
      <c r="B17" s="85"/>
      <c r="C17" s="58"/>
      <c r="D17" s="59"/>
      <c r="E17" s="50"/>
      <c r="F17" s="50"/>
      <c r="G17" s="51"/>
      <c r="H17" s="51"/>
      <c r="I17" s="51"/>
      <c r="J17" s="44" t="str">
        <f>IFERROR(VLOOKUP(D17,NBR!$C:$E,3,0),"")</f>
        <v/>
      </c>
      <c r="K17" s="50" t="str">
        <f t="shared" si="4"/>
        <v/>
      </c>
      <c r="L17" s="82"/>
      <c r="M17" s="46" t="str">
        <f>IFERROR(VLOOKUP(L17,LAMPADAS!$A:$B,2,0),"")</f>
        <v/>
      </c>
      <c r="N17" s="51"/>
      <c r="O17" s="51"/>
      <c r="P17" s="50" t="str">
        <f t="shared" si="1"/>
        <v/>
      </c>
      <c r="Q17" s="31"/>
      <c r="R17" s="47" t="str">
        <f>IFERROR(VLOOKUP(L17,LAMPADAS!$A:$D,4,0),"")</f>
        <v/>
      </c>
      <c r="S17" s="53" t="str">
        <f t="shared" si="2"/>
        <v/>
      </c>
      <c r="T17" s="54" t="e">
        <f t="shared" si="3"/>
        <v>#VALUE!</v>
      </c>
      <c r="U17" s="22" t="e">
        <f>IF(E17*J17*M17=0,"",IF((Q17*M17*N17*O17)/E17&lt;IF(IFERROR(VLOOKUP(D17,NBR!$C:$D,2,0),J17)=IFERROR(VLOOKUP(D17,NBR!$C:$F,4,0),J17),J17*0.9,IFERROR(VLOOKUP(D17,NBR!$C:$D,2,0),J17*0.9)),"COLOCAR +"&amp;TEXT(ROUNDUP((E17*J17)/(M17*N17*O17),0)-Q17,"0")&amp;" luminaria(s)",IF((Q17*M17*N17*O17)/E17&gt;IF(IFERROR(VLOOKUP(D17,NBR!$C:$F,4,0),J17)=IFERROR(VLOOKUP(D17,NBR!$C:$D,2,0),J17),J17*1.2,IFERROR(VLOOKUP(D17,NBR!$C:$F,4,0),J17*1.2)),IF(Q17=1,"Reduzir potencia luminaria","RETIRAR -"&amp;TEXT(Q17-ROUNDUP((E17*IF(IFERROR(VLOOKUP(D17,NBR!$C:$F,4,0),J17)=J17,J17*1.2,IFERROR(VLOOKUP(D17,NBR!$C:$F,4,0),J17*1.2)))/(M17*N17*O17),0),"0")&amp;" luminaria(s)"),"OK")))</f>
        <v>#VALUE!</v>
      </c>
      <c r="V17" s="52" t="e">
        <f t="shared" si="0"/>
        <v>#VALUE!</v>
      </c>
      <c r="W17" s="60" t="str">
        <f>IFERROR(VLOOKUP(D17,NBR!$C:$F,3,0),"")</f>
        <v/>
      </c>
      <c r="X17" s="60" t="str">
        <f>IFERROR(VLOOKUP(D17,NBR!$C:$F,4,0),"")</f>
        <v/>
      </c>
      <c r="Y17" s="60" t="str">
        <f>IFERROR(VLOOKUP(D17,NBR!$C:$F,2,0),"")</f>
        <v/>
      </c>
      <c r="AA17" s="61"/>
      <c r="AB17" s="34"/>
      <c r="AC17" s="34"/>
      <c r="AD17" s="34"/>
    </row>
    <row r="18" spans="1:30" ht="18" customHeight="1" x14ac:dyDescent="0.25">
      <c r="A18" s="86"/>
      <c r="B18" s="86"/>
      <c r="C18" s="83"/>
      <c r="D18" s="17"/>
      <c r="E18" s="43"/>
      <c r="F18" s="43"/>
      <c r="G18" s="27"/>
      <c r="H18" s="27"/>
      <c r="I18" s="27"/>
      <c r="J18" s="44" t="str">
        <f>IFERROR(VLOOKUP(D18,NBR!$C:$E,3,0),"")</f>
        <v/>
      </c>
      <c r="K18" s="43" t="str">
        <f t="shared" si="4"/>
        <v/>
      </c>
      <c r="L18" s="45"/>
      <c r="M18" s="46" t="str">
        <f>IFERROR(VLOOKUP(L18,LAMPADAS!$A:$B,2,0),"")</f>
        <v/>
      </c>
      <c r="N18" s="27"/>
      <c r="O18" s="27"/>
      <c r="P18" s="45" t="str">
        <f t="shared" si="1"/>
        <v/>
      </c>
      <c r="Q18" s="29"/>
      <c r="R18" s="47" t="str">
        <f>IFERROR(VLOOKUP(L18,LAMPADAS!$A:$D,4,0),"")</f>
        <v/>
      </c>
      <c r="S18" s="48" t="str">
        <f t="shared" si="2"/>
        <v/>
      </c>
      <c r="T18" s="49" t="e">
        <f t="shared" si="3"/>
        <v>#VALUE!</v>
      </c>
      <c r="U18" s="17" t="e">
        <f>IF(E18*J18*M18=0,"",IF((Q18*M18*N18*O18)/E18&lt;IF(IFERROR(VLOOKUP(D18,NBR!$C:$D,2,0),J18)=IFERROR(VLOOKUP(D18,NBR!$C:$F,4,0),J18),J18*0.9,IFERROR(VLOOKUP(D18,NBR!$C:$D,2,0),J18*0.9)),"COLOCAR +"&amp;TEXT(ROUNDUP((E18*J18)/(M18*N18*O18),0)-Q18,"0")&amp;" luminaria(s)",IF((Q18*M18*N18*O18)/E18&gt;IF(IFERROR(VLOOKUP(D18,NBR!$C:$F,4,0),J18)=IFERROR(VLOOKUP(D18,NBR!$C:$D,2,0),J18),J18*1.2,IFERROR(VLOOKUP(D18,NBR!$C:$F,4,0),J18*1.2)),IF(Q18=1,"Reduzir potencia luminaria","RETIRAR -"&amp;TEXT(Q18-ROUNDUP((E18*IF(IFERROR(VLOOKUP(D18,NBR!$C:$F,4,0),J18)=J18,J18*1.2,IFERROR(VLOOKUP(D18,NBR!$C:$F,4,0),J18*1.2)))/(M18*N18*O18),0),"0")&amp;" luminaria(s)"),"OK")))</f>
        <v>#VALUE!</v>
      </c>
      <c r="V18" s="48" t="e">
        <f t="shared" si="0"/>
        <v>#VALUE!</v>
      </c>
      <c r="W18" s="57" t="str">
        <f>IFERROR(VLOOKUP(D18,NBR!$C:$F,3,0),"")</f>
        <v/>
      </c>
      <c r="X18" s="55" t="str">
        <f>IFERROR(VLOOKUP(D18,NBR!$C:$F,4,0),"")</f>
        <v/>
      </c>
      <c r="Y18" s="56" t="str">
        <f>IFERROR(VLOOKUP(D18,NBR!$C:$F,2,0),"")</f>
        <v/>
      </c>
      <c r="AA18" s="34"/>
      <c r="AB18" s="34"/>
      <c r="AC18" s="34"/>
      <c r="AD18" s="34"/>
    </row>
    <row r="19" spans="1:30" ht="18" customHeight="1" x14ac:dyDescent="0.25">
      <c r="A19" s="85"/>
      <c r="B19" s="85"/>
      <c r="C19" s="58"/>
      <c r="D19" s="59"/>
      <c r="E19" s="50"/>
      <c r="F19" s="50"/>
      <c r="G19" s="51"/>
      <c r="H19" s="51"/>
      <c r="I19" s="51"/>
      <c r="J19" s="44" t="str">
        <f>IFERROR(VLOOKUP(D19,NBR!$C:$E,3,0),"")</f>
        <v/>
      </c>
      <c r="K19" s="50" t="str">
        <f t="shared" si="4"/>
        <v/>
      </c>
      <c r="L19" s="82"/>
      <c r="M19" s="46" t="str">
        <f>IFERROR(VLOOKUP(L19,LAMPADAS!$A:$B,2,0),"")</f>
        <v/>
      </c>
      <c r="N19" s="51"/>
      <c r="O19" s="51"/>
      <c r="P19" s="50" t="str">
        <f t="shared" si="1"/>
        <v/>
      </c>
      <c r="Q19" s="31"/>
      <c r="R19" s="47" t="str">
        <f>IFERROR(VLOOKUP(L19,LAMPADAS!$A:$D,4,0),"")</f>
        <v/>
      </c>
      <c r="S19" s="53" t="str">
        <f t="shared" si="2"/>
        <v/>
      </c>
      <c r="T19" s="54" t="e">
        <f t="shared" si="3"/>
        <v>#VALUE!</v>
      </c>
      <c r="U19" s="22" t="e">
        <f>IF(E19*J19*M19=0,"",IF((Q19*M19*N19*O19)/E19&lt;IF(IFERROR(VLOOKUP(D19,NBR!$C:$D,2,0),J19)=IFERROR(VLOOKUP(D19,NBR!$C:$F,4,0),J19),J19*0.9,IFERROR(VLOOKUP(D19,NBR!$C:$D,2,0),J19*0.9)),"COLOCAR +"&amp;TEXT(ROUNDUP((E19*J19)/(M19*N19*O19),0)-Q19,"0")&amp;" luminaria(s)",IF((Q19*M19*N19*O19)/E19&gt;IF(IFERROR(VLOOKUP(D19,NBR!$C:$F,4,0),J19)=IFERROR(VLOOKUP(D19,NBR!$C:$D,2,0),J19),J19*1.2,IFERROR(VLOOKUP(D19,NBR!$C:$F,4,0),J19*1.2)),IF(Q19=1,"Reduzir potencia luminaria","RETIRAR -"&amp;TEXT(Q19-ROUNDUP((E19*IF(IFERROR(VLOOKUP(D19,NBR!$C:$F,4,0),J19)=J19,J19*1.2,IFERROR(VLOOKUP(D19,NBR!$C:$F,4,0),J19*1.2)))/(M19*N19*O19),0),"0")&amp;" luminaria(s)"),"OK")))</f>
        <v>#VALUE!</v>
      </c>
      <c r="V19" s="52" t="e">
        <f t="shared" si="0"/>
        <v>#VALUE!</v>
      </c>
      <c r="W19" s="60" t="str">
        <f>IFERROR(VLOOKUP(D19,NBR!$C:$F,3,0),"")</f>
        <v/>
      </c>
      <c r="X19" s="60" t="str">
        <f>IFERROR(VLOOKUP(D19,NBR!$C:$F,4,0),"")</f>
        <v/>
      </c>
      <c r="Y19" s="60" t="str">
        <f>IFERROR(VLOOKUP(D19,NBR!$C:$F,2,0),"")</f>
        <v/>
      </c>
      <c r="AA19" s="61"/>
      <c r="AB19" s="34"/>
      <c r="AC19" s="34"/>
      <c r="AD19" s="34"/>
    </row>
    <row r="20" spans="1:30" ht="18" customHeight="1" x14ac:dyDescent="0.25">
      <c r="A20" s="86"/>
      <c r="B20" s="86"/>
      <c r="C20" s="83"/>
      <c r="D20" s="17"/>
      <c r="E20" s="43"/>
      <c r="F20" s="43"/>
      <c r="G20" s="27"/>
      <c r="H20" s="27"/>
      <c r="I20" s="27"/>
      <c r="J20" s="44" t="str">
        <f>IFERROR(VLOOKUP(D20,NBR!$C:$E,3,0),"")</f>
        <v/>
      </c>
      <c r="K20" s="43" t="str">
        <f t="shared" si="4"/>
        <v/>
      </c>
      <c r="L20" s="45"/>
      <c r="M20" s="46" t="str">
        <f>IFERROR(VLOOKUP(L20,LAMPADAS!$A:$B,2,0),"")</f>
        <v/>
      </c>
      <c r="N20" s="27"/>
      <c r="O20" s="27"/>
      <c r="P20" s="45" t="str">
        <f t="shared" si="1"/>
        <v/>
      </c>
      <c r="Q20" s="29"/>
      <c r="R20" s="47" t="str">
        <f>IFERROR(VLOOKUP(L20,LAMPADAS!$A:$D,4,0),"")</f>
        <v/>
      </c>
      <c r="S20" s="48" t="str">
        <f t="shared" si="2"/>
        <v/>
      </c>
      <c r="T20" s="49" t="e">
        <f t="shared" si="3"/>
        <v>#VALUE!</v>
      </c>
      <c r="U20" s="17" t="e">
        <f>IF(E20*J20*M20=0,"",IF((Q20*M20*N20*O20)/E20&lt;IF(IFERROR(VLOOKUP(D20,NBR!$C:$D,2,0),J20)=IFERROR(VLOOKUP(D20,NBR!$C:$F,4,0),J20),J20*0.9,IFERROR(VLOOKUP(D20,NBR!$C:$D,2,0),J20*0.9)),"COLOCAR +"&amp;TEXT(ROUNDUP((E20*J20)/(M20*N20*O20),0)-Q20,"0")&amp;" luminaria(s)",IF((Q20*M20*N20*O20)/E20&gt;IF(IFERROR(VLOOKUP(D20,NBR!$C:$F,4,0),J20)=IFERROR(VLOOKUP(D20,NBR!$C:$D,2,0),J20),J20*1.2,IFERROR(VLOOKUP(D20,NBR!$C:$F,4,0),J20*1.2)),IF(Q20=1,"Reduzir potencia luminaria","RETIRAR -"&amp;TEXT(Q20-ROUNDUP((E20*IF(IFERROR(VLOOKUP(D20,NBR!$C:$F,4,0),J20)=J20,J20*1.2,IFERROR(VLOOKUP(D20,NBR!$C:$F,4,0),J20*1.2)))/(M20*N20*O20),0),"0")&amp;" luminaria(s)"),"OK")))</f>
        <v>#VALUE!</v>
      </c>
      <c r="V20" s="48" t="e">
        <f t="shared" si="0"/>
        <v>#VALUE!</v>
      </c>
      <c r="W20" s="57" t="str">
        <f>IFERROR(VLOOKUP(D20,NBR!$C:$F,3,0),"")</f>
        <v/>
      </c>
      <c r="X20" s="55" t="str">
        <f>IFERROR(VLOOKUP(D20,NBR!$C:$F,4,0),"")</f>
        <v/>
      </c>
      <c r="Y20" s="56" t="str">
        <f>IFERROR(VLOOKUP(D20,NBR!$C:$F,2,0),"")</f>
        <v/>
      </c>
      <c r="AA20" s="34"/>
      <c r="AB20" s="34"/>
      <c r="AC20" s="34"/>
      <c r="AD20" s="34"/>
    </row>
    <row r="21" spans="1:30" ht="18" customHeight="1" x14ac:dyDescent="0.25">
      <c r="A21" s="85"/>
      <c r="B21" s="85"/>
      <c r="C21" s="58"/>
      <c r="D21" s="59"/>
      <c r="E21" s="50"/>
      <c r="F21" s="50"/>
      <c r="G21" s="51"/>
      <c r="H21" s="51"/>
      <c r="I21" s="51"/>
      <c r="J21" s="44" t="str">
        <f>IFERROR(VLOOKUP(D21,NBR!$C:$E,3,0),"")</f>
        <v/>
      </c>
      <c r="K21" s="50" t="str">
        <f t="shared" si="4"/>
        <v/>
      </c>
      <c r="L21" s="82"/>
      <c r="M21" s="46" t="str">
        <f>IFERROR(VLOOKUP(L21,LAMPADAS!$A:$B,2,0),"")</f>
        <v/>
      </c>
      <c r="N21" s="51"/>
      <c r="O21" s="51"/>
      <c r="P21" s="50" t="str">
        <f t="shared" si="1"/>
        <v/>
      </c>
      <c r="Q21" s="31"/>
      <c r="R21" s="47" t="str">
        <f>IFERROR(VLOOKUP(L21,LAMPADAS!$A:$D,4,0),"")</f>
        <v/>
      </c>
      <c r="S21" s="53" t="str">
        <f t="shared" si="2"/>
        <v/>
      </c>
      <c r="T21" s="54" t="e">
        <f t="shared" si="3"/>
        <v>#VALUE!</v>
      </c>
      <c r="U21" s="22" t="e">
        <f>IF(E21*J21*M21=0,"",IF((Q21*M21*N21*O21)/E21&lt;IF(IFERROR(VLOOKUP(D21,NBR!$C:$D,2,0),J21)=IFERROR(VLOOKUP(D21,NBR!$C:$F,4,0),J21),J21*0.9,IFERROR(VLOOKUP(D21,NBR!$C:$D,2,0),J21*0.9)),"COLOCAR +"&amp;TEXT(ROUNDUP((E21*J21)/(M21*N21*O21),0)-Q21,"0")&amp;" luminaria(s)",IF((Q21*M21*N21*O21)/E21&gt;IF(IFERROR(VLOOKUP(D21,NBR!$C:$F,4,0),J21)=IFERROR(VLOOKUP(D21,NBR!$C:$D,2,0),J21),J21*1.2,IFERROR(VLOOKUP(D21,NBR!$C:$F,4,0),J21*1.2)),IF(Q21=1,"Reduzir potencia luminaria","RETIRAR -"&amp;TEXT(Q21-ROUNDUP((E21*IF(IFERROR(VLOOKUP(D21,NBR!$C:$F,4,0),J21)=J21,J21*1.2,IFERROR(VLOOKUP(D21,NBR!$C:$F,4,0),J21*1.2)))/(M21*N21*O21),0),"0")&amp;" luminaria(s)"),"OK")))</f>
        <v>#VALUE!</v>
      </c>
      <c r="V21" s="52" t="e">
        <f t="shared" si="0"/>
        <v>#VALUE!</v>
      </c>
      <c r="W21" s="60" t="str">
        <f>IFERROR(VLOOKUP(D21,NBR!$C:$F,3,0),"")</f>
        <v/>
      </c>
      <c r="X21" s="60" t="str">
        <f>IFERROR(VLOOKUP(D21,NBR!$C:$F,4,0),"")</f>
        <v/>
      </c>
      <c r="Y21" s="60" t="str">
        <f>IFERROR(VLOOKUP(D21,NBR!$C:$F,2,0),"")</f>
        <v/>
      </c>
      <c r="AA21" s="61"/>
      <c r="AB21" s="34"/>
      <c r="AC21" s="34"/>
      <c r="AD21" s="34"/>
    </row>
    <row r="22" spans="1:30" ht="18" customHeight="1" x14ac:dyDescent="0.25">
      <c r="A22" s="86"/>
      <c r="B22" s="86"/>
      <c r="C22" s="83"/>
      <c r="D22" s="17"/>
      <c r="E22" s="43"/>
      <c r="F22" s="43"/>
      <c r="G22" s="27"/>
      <c r="H22" s="27"/>
      <c r="I22" s="27"/>
      <c r="J22" s="44" t="str">
        <f>IFERROR(VLOOKUP(D22,NBR!$C:$E,3,0),"")</f>
        <v/>
      </c>
      <c r="K22" s="43" t="str">
        <f t="shared" si="4"/>
        <v/>
      </c>
      <c r="L22" s="45"/>
      <c r="M22" s="46" t="str">
        <f>IFERROR(VLOOKUP(L22,LAMPADAS!$A:$B,2,0),"")</f>
        <v/>
      </c>
      <c r="N22" s="27"/>
      <c r="O22" s="27"/>
      <c r="P22" s="45" t="str">
        <f t="shared" si="1"/>
        <v/>
      </c>
      <c r="Q22" s="29"/>
      <c r="R22" s="47" t="str">
        <f>IFERROR(VLOOKUP(L22,LAMPADAS!$A:$D,4,0),"")</f>
        <v/>
      </c>
      <c r="S22" s="48" t="str">
        <f t="shared" si="2"/>
        <v/>
      </c>
      <c r="T22" s="49" t="e">
        <f t="shared" si="3"/>
        <v>#VALUE!</v>
      </c>
      <c r="U22" s="17" t="e">
        <f>IF(E22*J22*M22=0,"",IF((Q22*M22*N22*O22)/E22&lt;IF(IFERROR(VLOOKUP(D22,NBR!$C:$D,2,0),J22)=IFERROR(VLOOKUP(D22,NBR!$C:$F,4,0),J22),J22*0.9,IFERROR(VLOOKUP(D22,NBR!$C:$D,2,0),J22*0.9)),"COLOCAR +"&amp;TEXT(ROUNDUP((E22*J22)/(M22*N22*O22),0)-Q22,"0")&amp;" luminaria(s)",IF((Q22*M22*N22*O22)/E22&gt;IF(IFERROR(VLOOKUP(D22,NBR!$C:$F,4,0),J22)=IFERROR(VLOOKUP(D22,NBR!$C:$D,2,0),J22),J22*1.2,IFERROR(VLOOKUP(D22,NBR!$C:$F,4,0),J22*1.2)),IF(Q22=1,"Reduzir potencia luminaria","RETIRAR -"&amp;TEXT(Q22-ROUNDUP((E22*IF(IFERROR(VLOOKUP(D22,NBR!$C:$F,4,0),J22)=J22,J22*1.2,IFERROR(VLOOKUP(D22,NBR!$C:$F,4,0),J22*1.2)))/(M22*N22*O22),0),"0")&amp;" luminaria(s)"),"OK")))</f>
        <v>#VALUE!</v>
      </c>
      <c r="V22" s="48" t="e">
        <f t="shared" si="0"/>
        <v>#VALUE!</v>
      </c>
      <c r="W22" s="57" t="str">
        <f>IFERROR(VLOOKUP(D22,NBR!$C:$F,3,0),"")</f>
        <v/>
      </c>
      <c r="X22" s="55" t="str">
        <f>IFERROR(VLOOKUP(D22,NBR!$C:$F,4,0),"")</f>
        <v/>
      </c>
      <c r="Y22" s="56" t="str">
        <f>IFERROR(VLOOKUP(D22,NBR!$C:$F,2,0),"")</f>
        <v/>
      </c>
      <c r="AA22" s="34"/>
      <c r="AB22" s="34"/>
      <c r="AC22" s="34"/>
      <c r="AD22" s="34"/>
    </row>
    <row r="23" spans="1:30" ht="18" customHeight="1" x14ac:dyDescent="0.25">
      <c r="A23" s="85"/>
      <c r="B23" s="85"/>
      <c r="C23" s="58"/>
      <c r="D23" s="59"/>
      <c r="E23" s="50"/>
      <c r="F23" s="50"/>
      <c r="G23" s="51"/>
      <c r="H23" s="51"/>
      <c r="I23" s="51"/>
      <c r="J23" s="44" t="str">
        <f>IFERROR(VLOOKUP(D23,NBR!$C:$E,3,0),"")</f>
        <v/>
      </c>
      <c r="K23" s="50" t="str">
        <f t="shared" si="4"/>
        <v/>
      </c>
      <c r="L23" s="82"/>
      <c r="M23" s="46" t="str">
        <f>IFERROR(VLOOKUP(L23,LAMPADAS!$A:$B,2,0),"")</f>
        <v/>
      </c>
      <c r="N23" s="51"/>
      <c r="O23" s="51"/>
      <c r="P23" s="50" t="str">
        <f t="shared" si="1"/>
        <v/>
      </c>
      <c r="Q23" s="31"/>
      <c r="R23" s="47" t="str">
        <f>IFERROR(VLOOKUP(L23,LAMPADAS!$A:$D,4,0),"")</f>
        <v/>
      </c>
      <c r="S23" s="53" t="str">
        <f t="shared" si="2"/>
        <v/>
      </c>
      <c r="T23" s="54" t="e">
        <f t="shared" si="3"/>
        <v>#VALUE!</v>
      </c>
      <c r="U23" s="22" t="e">
        <f>IF(E23*J23*M23=0,"",IF((Q23*M23*N23*O23)/E23&lt;IF(IFERROR(VLOOKUP(D23,NBR!$C:$D,2,0),J23)=IFERROR(VLOOKUP(D23,NBR!$C:$F,4,0),J23),J23*0.9,IFERROR(VLOOKUP(D23,NBR!$C:$D,2,0),J23*0.9)),"COLOCAR +"&amp;TEXT(ROUNDUP((E23*J23)/(M23*N23*O23),0)-Q23,"0")&amp;" luminaria(s)",IF((Q23*M23*N23*O23)/E23&gt;IF(IFERROR(VLOOKUP(D23,NBR!$C:$F,4,0),J23)=IFERROR(VLOOKUP(D23,NBR!$C:$D,2,0),J23),J23*1.2,IFERROR(VLOOKUP(D23,NBR!$C:$F,4,0),J23*1.2)),IF(Q23=1,"Reduzir potencia luminaria","RETIRAR -"&amp;TEXT(Q23-ROUNDUP((E23*IF(IFERROR(VLOOKUP(D23,NBR!$C:$F,4,0),J23)=J23,J23*1.2,IFERROR(VLOOKUP(D23,NBR!$C:$F,4,0),J23*1.2)))/(M23*N23*O23),0),"0")&amp;" luminaria(s)"),"OK")))</f>
        <v>#VALUE!</v>
      </c>
      <c r="V23" s="52" t="e">
        <f t="shared" si="0"/>
        <v>#VALUE!</v>
      </c>
      <c r="W23" s="60" t="str">
        <f>IFERROR(VLOOKUP(D23,NBR!$C:$F,3,0),"")</f>
        <v/>
      </c>
      <c r="X23" s="60" t="str">
        <f>IFERROR(VLOOKUP(D23,NBR!$C:$F,3,0),"")</f>
        <v/>
      </c>
      <c r="Y23" s="60" t="str">
        <f>IFERROR(VLOOKUP(D23,NBR!$C:$F,2,0),"")</f>
        <v/>
      </c>
      <c r="AA23" s="61"/>
      <c r="AB23" s="34"/>
      <c r="AC23" s="34"/>
      <c r="AD23" s="34"/>
    </row>
    <row r="24" spans="1:30" ht="18" customHeight="1" x14ac:dyDescent="0.25">
      <c r="A24" s="86"/>
      <c r="B24" s="86"/>
      <c r="C24" s="83"/>
      <c r="D24" s="17"/>
      <c r="E24" s="43"/>
      <c r="F24" s="43"/>
      <c r="G24" s="27"/>
      <c r="H24" s="27"/>
      <c r="I24" s="27"/>
      <c r="J24" s="44" t="str">
        <f>IFERROR(VLOOKUP(D24,NBR!$C:$E,3,0),"")</f>
        <v/>
      </c>
      <c r="K24" s="43" t="str">
        <f t="shared" si="4"/>
        <v/>
      </c>
      <c r="L24" s="45"/>
      <c r="M24" s="46" t="str">
        <f>IFERROR(VLOOKUP(L24,LAMPADAS!$A:$B,2,0),"")</f>
        <v/>
      </c>
      <c r="N24" s="27"/>
      <c r="O24" s="27"/>
      <c r="P24" s="45" t="str">
        <f t="shared" si="1"/>
        <v/>
      </c>
      <c r="Q24" s="29"/>
      <c r="R24" s="47" t="str">
        <f>IFERROR(VLOOKUP(L24,LAMPADAS!$A:$D,4,0),"")</f>
        <v/>
      </c>
      <c r="S24" s="48" t="str">
        <f t="shared" si="2"/>
        <v/>
      </c>
      <c r="T24" s="49" t="e">
        <f t="shared" si="3"/>
        <v>#VALUE!</v>
      </c>
      <c r="U24" s="17" t="e">
        <f>IF(E24*J24*M24=0,"",IF((Q24*M24*N24*O24)/E24&lt;IF(IFERROR(VLOOKUP(D24,NBR!$C:$D,2,0),J24)=IFERROR(VLOOKUP(D24,NBR!$C:$F,4,0),J24),J24*0.9,IFERROR(VLOOKUP(D24,NBR!$C:$D,2,0),J24*0.9)),"COLOCAR +"&amp;TEXT(ROUNDUP((E24*J24)/(M24*N24*O24),0)-Q24,"0")&amp;" luminaria(s)",IF((Q24*M24*N24*O24)/E24&gt;IF(IFERROR(VLOOKUP(D24,NBR!$C:$F,4,0),J24)=IFERROR(VLOOKUP(D24,NBR!$C:$D,2,0),J24),J24*1.2,IFERROR(VLOOKUP(D24,NBR!$C:$F,4,0),J24*1.2)),IF(Q24=1,"Reduzir potencia luminaria","RETIRAR -"&amp;TEXT(Q24-ROUNDUP((E24*IF(IFERROR(VLOOKUP(D24,NBR!$C:$F,4,0),J24)=J24,J24*1.2,IFERROR(VLOOKUP(D24,NBR!$C:$F,4,0),J24*1.2)))/(M24*N24*O24),0),"0")&amp;" luminaria(s)"),"OK")))</f>
        <v>#VALUE!</v>
      </c>
      <c r="V24" s="48" t="e">
        <f t="shared" si="0"/>
        <v>#VALUE!</v>
      </c>
      <c r="W24" s="57" t="str">
        <f>IFERROR(VLOOKUP(D24,NBR!$C:$F,3,0),"")</f>
        <v/>
      </c>
      <c r="X24" s="55" t="str">
        <f>IFERROR(VLOOKUP(D24,NBR!$C:$F,3,0),"")</f>
        <v/>
      </c>
      <c r="Y24" s="56" t="str">
        <f>IFERROR(VLOOKUP(D24,NBR!$C:$F,2,0),"")</f>
        <v/>
      </c>
      <c r="AA24" s="34"/>
      <c r="AB24" s="34"/>
      <c r="AC24" s="34"/>
      <c r="AD24" s="34"/>
    </row>
    <row r="25" spans="1:30" ht="18" customHeight="1" x14ac:dyDescent="0.25">
      <c r="A25" s="85"/>
      <c r="B25" s="85"/>
      <c r="C25" s="58"/>
      <c r="D25" s="59"/>
      <c r="E25" s="50"/>
      <c r="F25" s="50"/>
      <c r="G25" s="51"/>
      <c r="H25" s="51"/>
      <c r="I25" s="51"/>
      <c r="J25" s="44" t="str">
        <f>IFERROR(VLOOKUP(D25,NBR!$C:$E,3,0),"")</f>
        <v/>
      </c>
      <c r="K25" s="50" t="str">
        <f t="shared" si="4"/>
        <v/>
      </c>
      <c r="L25" s="82"/>
      <c r="M25" s="46" t="str">
        <f>IFERROR(VLOOKUP(L25,LAMPADAS!$A:$B,2,0),"")</f>
        <v/>
      </c>
      <c r="N25" s="51"/>
      <c r="O25" s="51"/>
      <c r="P25" s="50" t="str">
        <f t="shared" si="1"/>
        <v/>
      </c>
      <c r="Q25" s="31"/>
      <c r="R25" s="47" t="str">
        <f>IFERROR(VLOOKUP(L25,LAMPADAS!$A:$D,4,0),"")</f>
        <v/>
      </c>
      <c r="S25" s="53" t="str">
        <f t="shared" si="2"/>
        <v/>
      </c>
      <c r="T25" s="54" t="e">
        <f t="shared" si="3"/>
        <v>#VALUE!</v>
      </c>
      <c r="U25" s="22" t="e">
        <f>IF(E25*J25*M25=0,"",IF((Q25*M25*N25*O25)/E25&lt;IF(IFERROR(VLOOKUP(D25,NBR!$C:$D,2,0),J25)=IFERROR(VLOOKUP(D25,NBR!$C:$F,4,0),J25),J25*0.9,IFERROR(VLOOKUP(D25,NBR!$C:$D,2,0),J25*0.9)),"COLOCAR +"&amp;TEXT(ROUNDUP((E25*J25)/(M25*N25*O25),0)-Q25,"0")&amp;" luminaria(s)",IF((Q25*M25*N25*O25)/E25&gt;IF(IFERROR(VLOOKUP(D25,NBR!$C:$F,4,0),J25)=IFERROR(VLOOKUP(D25,NBR!$C:$D,2,0),J25),J25*1.2,IFERROR(VLOOKUP(D25,NBR!$C:$F,4,0),J25*1.2)),IF(Q25=1,"Reduzir potencia luminaria","RETIRAR -"&amp;TEXT(Q25-ROUNDUP((E25*IF(IFERROR(VLOOKUP(D25,NBR!$C:$F,4,0),J25)=J25,J25*1.2,IFERROR(VLOOKUP(D25,NBR!$C:$F,4,0),J25*1.2)))/(M25*N25*O25),0),"0")&amp;" luminaria(s)"),"OK")))</f>
        <v>#VALUE!</v>
      </c>
      <c r="V25" s="52" t="e">
        <f t="shared" si="0"/>
        <v>#VALUE!</v>
      </c>
      <c r="W25" s="60" t="str">
        <f>IFERROR(VLOOKUP(D25,NBR!$C:$F,3,0),"")</f>
        <v/>
      </c>
      <c r="X25" s="60" t="str">
        <f>IFERROR(VLOOKUP(D25,NBR!$C:$F,3,0),"")</f>
        <v/>
      </c>
      <c r="Y25" s="60" t="str">
        <f>IFERROR(VLOOKUP(D25,NBR!$C:$F,2,0),"")</f>
        <v/>
      </c>
      <c r="AA25" s="61"/>
      <c r="AB25" s="34"/>
      <c r="AC25" s="34"/>
      <c r="AD25" s="34"/>
    </row>
    <row r="26" spans="1:30" ht="18" customHeight="1" x14ac:dyDescent="0.25">
      <c r="A26" s="86"/>
      <c r="B26" s="86"/>
      <c r="C26" s="83"/>
      <c r="D26" s="17"/>
      <c r="E26" s="43"/>
      <c r="F26" s="43"/>
      <c r="G26" s="27"/>
      <c r="H26" s="27"/>
      <c r="I26" s="27"/>
      <c r="J26" s="44" t="str">
        <f>IFERROR(VLOOKUP(D26,NBR!$C:$E,3,0),"")</f>
        <v/>
      </c>
      <c r="K26" s="43" t="str">
        <f t="shared" si="4"/>
        <v/>
      </c>
      <c r="L26" s="45"/>
      <c r="M26" s="46" t="str">
        <f>IFERROR(VLOOKUP(L26,LAMPADAS!$A:$B,2,0),"")</f>
        <v/>
      </c>
      <c r="N26" s="27"/>
      <c r="O26" s="27"/>
      <c r="P26" s="45" t="str">
        <f t="shared" si="1"/>
        <v/>
      </c>
      <c r="Q26" s="29"/>
      <c r="R26" s="47" t="str">
        <f>IFERROR(VLOOKUP(L26,#REF!,4,0),"")</f>
        <v/>
      </c>
      <c r="S26" s="48" t="str">
        <f t="shared" si="2"/>
        <v/>
      </c>
      <c r="T26" s="49" t="e">
        <f t="shared" si="3"/>
        <v>#VALUE!</v>
      </c>
      <c r="U26" s="17" t="e">
        <f>IF(E26*J26*M26=0,"",IF((Q26*M26*N26*O26)/E26&lt;IF(IFERROR(VLOOKUP(D26,NBR!$C:$D,2,0),J26)=IFERROR(VLOOKUP(D26,NBR!$C:$F,4,0),J26),J26*0.9,IFERROR(VLOOKUP(D26,NBR!$C:$D,2,0),J26*0.9)),"COLOCAR +"&amp;TEXT(ROUNDUP((E26*J26)/(M26*N26*O26),0)-Q26,"0")&amp;" luminaria(s)",IF((Q26*M26*N26*O26)/E26&gt;IF(IFERROR(VLOOKUP(D26,NBR!$C:$F,4,0),J26)=IFERROR(VLOOKUP(D26,NBR!$C:$D,2,0),J26),J26*1.2,IFERROR(VLOOKUP(D26,NBR!$C:$F,4,0),J26*1.2)),IF(Q26=1,"Reduzir potencia luminaria","RETIRAR -"&amp;TEXT(Q26-ROUNDUP((E26*IF(IFERROR(VLOOKUP(D26,NBR!$C:$F,4,0),J26)=J26,J26*1.2,IFERROR(VLOOKUP(D26,NBR!$C:$F,4,0),J26*1.2)))/(M26*N26*O26),0),"0")&amp;" luminaria(s)"),"OK")))</f>
        <v>#VALUE!</v>
      </c>
      <c r="V26" s="48" t="e">
        <f t="shared" si="0"/>
        <v>#VALUE!</v>
      </c>
      <c r="W26" s="57"/>
      <c r="X26" s="55"/>
      <c r="Y26" s="56"/>
      <c r="AA26" s="34"/>
      <c r="AB26" s="34"/>
      <c r="AC26" s="34"/>
      <c r="AD26" s="34"/>
    </row>
    <row r="27" spans="1:30" ht="18" customHeight="1" x14ac:dyDescent="0.25">
      <c r="A27" s="85"/>
      <c r="B27" s="85"/>
      <c r="C27" s="58"/>
      <c r="D27" s="59"/>
      <c r="E27" s="50"/>
      <c r="F27" s="50"/>
      <c r="G27" s="51"/>
      <c r="H27" s="51"/>
      <c r="I27" s="51"/>
      <c r="J27" s="44" t="str">
        <f>IFERROR(VLOOKUP(D27,NBR!$C:$E,3,0),"")</f>
        <v/>
      </c>
      <c r="K27" s="50" t="str">
        <f t="shared" si="4"/>
        <v/>
      </c>
      <c r="L27" s="82"/>
      <c r="M27" s="46" t="str">
        <f>IFERROR(VLOOKUP(L27,LAMPADAS!$A:$B,2,0),"")</f>
        <v/>
      </c>
      <c r="N27" s="51"/>
      <c r="O27" s="51"/>
      <c r="P27" s="50" t="str">
        <f t="shared" si="1"/>
        <v/>
      </c>
      <c r="Q27" s="31"/>
      <c r="R27" s="47" t="str">
        <f>IFERROR(VLOOKUP(L27,#REF!,4,0),"")</f>
        <v/>
      </c>
      <c r="S27" s="53" t="str">
        <f t="shared" si="2"/>
        <v/>
      </c>
      <c r="T27" s="54" t="e">
        <f t="shared" si="3"/>
        <v>#VALUE!</v>
      </c>
      <c r="U27" s="22" t="e">
        <f>IF(E27*J27*M27=0,"",IF((Q27*M27*N27*O27)/E27&lt;IF(IFERROR(VLOOKUP(D27,NBR!$C:$D,2,0),J27)=IFERROR(VLOOKUP(D27,NBR!$C:$F,4,0),J27),J27*0.9,IFERROR(VLOOKUP(D27,NBR!$C:$D,2,0),J27*0.9)),"COLOCAR +"&amp;TEXT(ROUNDUP((E27*J27)/(M27*N27*O27),0)-Q27,"0")&amp;" luminaria(s)",IF((Q27*M27*N27*O27)/E27&gt;IF(IFERROR(VLOOKUP(D27,NBR!$C:$F,4,0),J27)=IFERROR(VLOOKUP(D27,NBR!$C:$D,2,0),J27),J27*1.2,IFERROR(VLOOKUP(D27,NBR!$C:$F,4,0),J27*1.2)),IF(Q27=1,"Reduzir potencia luminaria","RETIRAR -"&amp;TEXT(Q27-ROUNDUP((E27*IF(IFERROR(VLOOKUP(D27,NBR!$C:$F,4,0),J27)=J27,J27*1.2,IFERROR(VLOOKUP(D27,NBR!$C:$F,4,0),J27*1.2)))/(M27*N27*O27),0),"0")&amp;" luminaria(s)"),"OK")))</f>
        <v>#VALUE!</v>
      </c>
      <c r="V27" s="52" t="e">
        <f t="shared" si="0"/>
        <v>#VALUE!</v>
      </c>
      <c r="W27" s="60"/>
      <c r="X27" s="60"/>
      <c r="Y27" s="60"/>
      <c r="AA27" s="61"/>
      <c r="AB27" s="34"/>
      <c r="AC27" s="34"/>
      <c r="AD27" s="34"/>
    </row>
    <row r="28" spans="1:30" ht="18" customHeight="1" x14ac:dyDescent="0.25">
      <c r="A28" s="86"/>
      <c r="B28" s="86"/>
      <c r="C28" s="83"/>
      <c r="D28" s="17"/>
      <c r="E28" s="43"/>
      <c r="F28" s="43"/>
      <c r="G28" s="27"/>
      <c r="H28" s="27"/>
      <c r="I28" s="27"/>
      <c r="J28" s="44" t="str">
        <f>IFERROR(VLOOKUP(D28,NBR!$C:$E,3,0),"")</f>
        <v/>
      </c>
      <c r="K28" s="43" t="str">
        <f t="shared" si="4"/>
        <v/>
      </c>
      <c r="L28" s="45"/>
      <c r="M28" s="46" t="str">
        <f>IFERROR(VLOOKUP(L28,LAMPADAS!$A:$B,2,0),"")</f>
        <v/>
      </c>
      <c r="N28" s="27"/>
      <c r="O28" s="27"/>
      <c r="P28" s="45" t="str">
        <f t="shared" si="1"/>
        <v/>
      </c>
      <c r="Q28" s="29"/>
      <c r="R28" s="47" t="str">
        <f>IFERROR(VLOOKUP(L28,#REF!,4,0),"")</f>
        <v/>
      </c>
      <c r="S28" s="48" t="str">
        <f t="shared" si="2"/>
        <v/>
      </c>
      <c r="T28" s="49" t="e">
        <f t="shared" si="3"/>
        <v>#VALUE!</v>
      </c>
      <c r="U28" s="17" t="e">
        <f>IF(E28*J28*M28=0,"",IF((Q28*M28*N28*O28)/E28&lt;IF(IFERROR(VLOOKUP(D28,NBR!$C:$D,2,0),J28)=IFERROR(VLOOKUP(D28,NBR!$C:$F,4,0),J28),J28*0.9,IFERROR(VLOOKUP(D28,NBR!$C:$D,2,0),J28*0.9)),"COLOCAR +"&amp;TEXT(ROUNDUP((E28*J28)/(M28*N28*O28),0)-Q28,"0")&amp;" luminaria(s)",IF((Q28*M28*N28*O28)/E28&gt;IF(IFERROR(VLOOKUP(D28,NBR!$C:$F,4,0),J28)=IFERROR(VLOOKUP(D28,NBR!$C:$D,2,0),J28),J28*1.2,IFERROR(VLOOKUP(D28,NBR!$C:$F,4,0),J28*1.2)),IF(Q28=1,"Reduzir potencia luminaria","RETIRAR -"&amp;TEXT(Q28-ROUNDUP((E28*IF(IFERROR(VLOOKUP(D28,NBR!$C:$F,4,0),J28)=J28,J28*1.2,IFERROR(VLOOKUP(D28,NBR!$C:$F,4,0),J28*1.2)))/(M28*N28*O28),0),"0")&amp;" luminaria(s)"),"OK")))</f>
        <v>#VALUE!</v>
      </c>
      <c r="V28" s="48" t="e">
        <f t="shared" si="0"/>
        <v>#VALUE!</v>
      </c>
      <c r="W28" s="57"/>
      <c r="X28" s="55"/>
      <c r="Y28" s="56"/>
      <c r="AA28" s="34"/>
      <c r="AB28" s="34"/>
      <c r="AC28" s="34"/>
      <c r="AD28" s="34"/>
    </row>
    <row r="29" spans="1:30" ht="18" customHeight="1" x14ac:dyDescent="0.25">
      <c r="A29" s="85"/>
      <c r="B29" s="85"/>
      <c r="C29" s="58"/>
      <c r="D29" s="59"/>
      <c r="E29" s="50"/>
      <c r="F29" s="50"/>
      <c r="G29" s="51"/>
      <c r="H29" s="51"/>
      <c r="I29" s="51"/>
      <c r="J29" s="44" t="str">
        <f>IFERROR(VLOOKUP(D29,NBR!$C:$E,3,0),"")</f>
        <v/>
      </c>
      <c r="K29" s="50" t="str">
        <f t="shared" si="4"/>
        <v/>
      </c>
      <c r="L29" s="82"/>
      <c r="M29" s="46" t="str">
        <f>IFERROR(VLOOKUP(L29,LAMPADAS!$A:$B,2,0),"")</f>
        <v/>
      </c>
      <c r="N29" s="51"/>
      <c r="O29" s="51"/>
      <c r="P29" s="50" t="str">
        <f t="shared" si="1"/>
        <v/>
      </c>
      <c r="Q29" s="31"/>
      <c r="R29" s="47" t="str">
        <f>IFERROR(VLOOKUP(L29,#REF!,4,0),"")</f>
        <v/>
      </c>
      <c r="S29" s="53" t="str">
        <f t="shared" si="2"/>
        <v/>
      </c>
      <c r="T29" s="54" t="e">
        <f t="shared" si="3"/>
        <v>#VALUE!</v>
      </c>
      <c r="U29" s="22" t="e">
        <f>IF(E29*J29*M29=0,"",IF((Q29*M29*N29*O29)/E29&lt;IF(IFERROR(VLOOKUP(D29,NBR!$C:$D,2,0),J29)=IFERROR(VLOOKUP(D29,NBR!$C:$F,4,0),J29),J29*0.9,IFERROR(VLOOKUP(D29,NBR!$C:$D,2,0),J29*0.9)),"COLOCAR +"&amp;TEXT(ROUNDUP((E29*J29)/(M29*N29*O29),0)-Q29,"0")&amp;" luminaria(s)",IF((Q29*M29*N29*O29)/E29&gt;IF(IFERROR(VLOOKUP(D29,NBR!$C:$F,4,0),J29)=IFERROR(VLOOKUP(D29,NBR!$C:$D,2,0),J29),J29*1.2,IFERROR(VLOOKUP(D29,NBR!$C:$F,4,0),J29*1.2)),IF(Q29=1,"Reduzir potencia luminaria","RETIRAR -"&amp;TEXT(Q29-ROUNDUP((E29*IF(IFERROR(VLOOKUP(D29,NBR!$C:$F,4,0),J29)=J29,J29*1.2,IFERROR(VLOOKUP(D29,NBR!$C:$F,4,0),J29*1.2)))/(M29*N29*O29),0),"0")&amp;" luminaria(s)"),"OK")))</f>
        <v>#VALUE!</v>
      </c>
      <c r="V29" s="52" t="e">
        <f t="shared" si="0"/>
        <v>#VALUE!</v>
      </c>
      <c r="W29" s="60"/>
      <c r="X29" s="60"/>
      <c r="Y29" s="60"/>
      <c r="AA29" s="61"/>
      <c r="AB29" s="34"/>
      <c r="AC29" s="34"/>
      <c r="AD29" s="34"/>
    </row>
    <row r="30" spans="1:30" ht="18" customHeight="1" x14ac:dyDescent="0.25">
      <c r="A30" s="86"/>
      <c r="B30" s="86"/>
      <c r="C30" s="83"/>
      <c r="D30" s="17"/>
      <c r="E30" s="43"/>
      <c r="F30" s="43"/>
      <c r="G30" s="27"/>
      <c r="H30" s="27"/>
      <c r="I30" s="27"/>
      <c r="J30" s="44" t="str">
        <f>IFERROR(VLOOKUP(D30,NBR!$C:$E,3,0),"")</f>
        <v/>
      </c>
      <c r="K30" s="43" t="str">
        <f t="shared" si="4"/>
        <v/>
      </c>
      <c r="L30" s="45"/>
      <c r="M30" s="46" t="str">
        <f>IFERROR(VLOOKUP(L30,LAMPADAS!$A:$B,2,0),"")</f>
        <v/>
      </c>
      <c r="N30" s="27"/>
      <c r="O30" s="27"/>
      <c r="P30" s="45" t="str">
        <f t="shared" si="1"/>
        <v/>
      </c>
      <c r="Q30" s="29"/>
      <c r="R30" s="47" t="str">
        <f>IFERROR(VLOOKUP(L30,#REF!,4,0),"")</f>
        <v/>
      </c>
      <c r="S30" s="48" t="str">
        <f t="shared" si="2"/>
        <v/>
      </c>
      <c r="T30" s="49" t="e">
        <f t="shared" si="3"/>
        <v>#VALUE!</v>
      </c>
      <c r="U30" s="17" t="e">
        <f>IF(E30*J30*M30=0,"",IF((Q30*M30*N30*O30)/E30&lt;IF(IFERROR(VLOOKUP(D30,NBR!$C:$D,2,0),J30)=IFERROR(VLOOKUP(D30,NBR!$C:$F,4,0),J30),J30*0.9,IFERROR(VLOOKUP(D30,NBR!$C:$D,2,0),J30*0.9)),"COLOCAR +"&amp;TEXT(ROUNDUP((E30*J30)/(M30*N30*O30),0)-Q30,"0")&amp;" luminaria(s)",IF((Q30*M30*N30*O30)/E30&gt;IF(IFERROR(VLOOKUP(D30,NBR!$C:$F,4,0),J30)=IFERROR(VLOOKUP(D30,NBR!$C:$D,2,0),J30),J30*1.2,IFERROR(VLOOKUP(D30,NBR!$C:$F,4,0),J30*1.2)),IF(Q30=1,"Reduzir potencia luminaria","RETIRAR -"&amp;TEXT(Q30-ROUNDUP((E30*IF(IFERROR(VLOOKUP(D30,NBR!$C:$F,4,0),J30)=J30,J30*1.2,IFERROR(VLOOKUP(D30,NBR!$C:$F,4,0),J30*1.2)))/(M30*N30*O30),0),"0")&amp;" luminaria(s)"),"OK")))</f>
        <v>#VALUE!</v>
      </c>
      <c r="V30" s="48" t="e">
        <f t="shared" si="0"/>
        <v>#VALUE!</v>
      </c>
      <c r="W30" s="57"/>
      <c r="X30" s="55"/>
      <c r="Y30" s="56"/>
      <c r="AA30" s="34"/>
      <c r="AB30" s="34"/>
      <c r="AC30" s="34"/>
      <c r="AD30" s="34"/>
    </row>
    <row r="31" spans="1:30" ht="18" customHeight="1" x14ac:dyDescent="0.25">
      <c r="A31" s="85"/>
      <c r="B31" s="85"/>
      <c r="C31" s="58"/>
      <c r="D31" s="59"/>
      <c r="E31" s="50"/>
      <c r="F31" s="50"/>
      <c r="G31" s="51"/>
      <c r="H31" s="51"/>
      <c r="I31" s="51"/>
      <c r="J31" s="44" t="str">
        <f>IFERROR(VLOOKUP(D31,NBR!$C:$E,3,0),"")</f>
        <v/>
      </c>
      <c r="K31" s="50" t="str">
        <f t="shared" si="4"/>
        <v/>
      </c>
      <c r="L31" s="82"/>
      <c r="M31" s="46" t="str">
        <f>IFERROR(VLOOKUP(L31,LAMPADAS!$A:$B,2,0),"")</f>
        <v/>
      </c>
      <c r="N31" s="51"/>
      <c r="O31" s="51"/>
      <c r="P31" s="50" t="str">
        <f t="shared" si="1"/>
        <v/>
      </c>
      <c r="Q31" s="31"/>
      <c r="R31" s="47" t="str">
        <f>IFERROR(VLOOKUP(L31,#REF!,4,0),"")</f>
        <v/>
      </c>
      <c r="S31" s="53" t="str">
        <f t="shared" si="2"/>
        <v/>
      </c>
      <c r="T31" s="54" t="e">
        <f t="shared" si="3"/>
        <v>#VALUE!</v>
      </c>
      <c r="U31" s="22" t="e">
        <f>IF(E31*J31*M31=0,"",IF((Q31*M31*N31*O31)/E31&lt;IF(IFERROR(VLOOKUP(D31,NBR!$C:$D,2,0),J31)=IFERROR(VLOOKUP(D31,NBR!$C:$F,4,0),J31),J31*0.9,IFERROR(VLOOKUP(D31,NBR!$C:$D,2,0),J31*0.9)),"COLOCAR +"&amp;TEXT(ROUNDUP((E31*J31)/(M31*N31*O31),0)-Q31,"0")&amp;" luminaria(s)",IF((Q31*M31*N31*O31)/E31&gt;IF(IFERROR(VLOOKUP(D31,NBR!$C:$F,4,0),J31)=IFERROR(VLOOKUP(D31,NBR!$C:$D,2,0),J31),J31*1.2,IFERROR(VLOOKUP(D31,NBR!$C:$F,4,0),J31*1.2)),IF(Q31=1,"Reduzir potencia luminaria","RETIRAR -"&amp;TEXT(Q31-ROUNDUP((E31*IF(IFERROR(VLOOKUP(D31,NBR!$C:$F,4,0),J31)=J31,J31*1.2,IFERROR(VLOOKUP(D31,NBR!$C:$F,4,0),J31*1.2)))/(M31*N31*O31),0),"0")&amp;" luminaria(s)"),"OK")))</f>
        <v>#VALUE!</v>
      </c>
      <c r="V31" s="52" t="e">
        <f t="shared" si="0"/>
        <v>#VALUE!</v>
      </c>
      <c r="W31" s="60"/>
      <c r="X31" s="60"/>
      <c r="Y31" s="60"/>
      <c r="AA31" s="61"/>
      <c r="AB31" s="34"/>
      <c r="AC31" s="34"/>
      <c r="AD31" s="34"/>
    </row>
    <row r="32" spans="1:30" ht="18" customHeight="1" x14ac:dyDescent="0.25">
      <c r="A32" s="86"/>
      <c r="B32" s="86"/>
      <c r="C32" s="83"/>
      <c r="D32" s="17"/>
      <c r="E32" s="43"/>
      <c r="F32" s="43"/>
      <c r="G32" s="27"/>
      <c r="H32" s="27"/>
      <c r="I32" s="27"/>
      <c r="J32" s="44" t="str">
        <f>IFERROR(VLOOKUP(D32,NBR!$C:$E,3,0),"")</f>
        <v/>
      </c>
      <c r="K32" s="43" t="str">
        <f t="shared" si="4"/>
        <v/>
      </c>
      <c r="L32" s="45"/>
      <c r="M32" s="46" t="str">
        <f>IFERROR(VLOOKUP(L32,LAMPADAS!$A:$B,2,0),"")</f>
        <v/>
      </c>
      <c r="N32" s="27"/>
      <c r="O32" s="27"/>
      <c r="P32" s="45" t="str">
        <f t="shared" si="1"/>
        <v/>
      </c>
      <c r="Q32" s="29"/>
      <c r="R32" s="47" t="str">
        <f>IFERROR(VLOOKUP(L32,#REF!,4,0),"")</f>
        <v/>
      </c>
      <c r="S32" s="48" t="str">
        <f t="shared" si="2"/>
        <v/>
      </c>
      <c r="T32" s="49" t="e">
        <f t="shared" si="3"/>
        <v>#VALUE!</v>
      </c>
      <c r="U32" s="17" t="e">
        <f>IF(E32*J32*M32=0,"",IF((Q32*M32*N32*O32)/E32&lt;IF(IFERROR(VLOOKUP(D32,NBR!$C:$D,2,0),J32)=IFERROR(VLOOKUP(D32,NBR!$C:$F,4,0),J32),J32*0.9,IFERROR(VLOOKUP(D32,NBR!$C:$D,2,0),J32*0.9)),"COLOCAR +"&amp;TEXT(ROUNDUP((E32*J32)/(M32*N32*O32),0)-Q32,"0")&amp;" luminaria(s)",IF((Q32*M32*N32*O32)/E32&gt;IF(IFERROR(VLOOKUP(D32,NBR!$C:$F,4,0),J32)=IFERROR(VLOOKUP(D32,NBR!$C:$D,2,0),J32),J32*1.2,IFERROR(VLOOKUP(D32,NBR!$C:$F,4,0),J32*1.2)),IF(Q32=1,"Reduzir potencia luminaria","RETIRAR -"&amp;TEXT(Q32-ROUNDUP((E32*IF(IFERROR(VLOOKUP(D32,NBR!$C:$F,4,0),J32)=J32,J32*1.2,IFERROR(VLOOKUP(D32,NBR!$C:$F,4,0),J32*1.2)))/(M32*N32*O32),0),"0")&amp;" luminaria(s)"),"OK")))</f>
        <v>#VALUE!</v>
      </c>
      <c r="V32" s="48" t="e">
        <f t="shared" si="0"/>
        <v>#VALUE!</v>
      </c>
      <c r="W32" s="57"/>
      <c r="X32" s="55"/>
      <c r="Y32" s="56"/>
      <c r="AA32" s="34"/>
      <c r="AB32" s="34"/>
      <c r="AC32" s="34"/>
      <c r="AD32" s="34"/>
    </row>
    <row r="33" spans="1:30" ht="18" customHeight="1" x14ac:dyDescent="0.25">
      <c r="A33" s="85"/>
      <c r="B33" s="85"/>
      <c r="C33" s="58"/>
      <c r="D33" s="59"/>
      <c r="E33" s="50"/>
      <c r="F33" s="50"/>
      <c r="G33" s="51"/>
      <c r="H33" s="51"/>
      <c r="I33" s="51"/>
      <c r="J33" s="44" t="str">
        <f>IFERROR(VLOOKUP(D33,NBR!$C:$E,3,0),"")</f>
        <v/>
      </c>
      <c r="K33" s="50" t="str">
        <f t="shared" si="4"/>
        <v/>
      </c>
      <c r="L33" s="82"/>
      <c r="M33" s="46" t="str">
        <f>IFERROR(VLOOKUP(L33,LAMPADAS!$A:$B,2,0),"")</f>
        <v/>
      </c>
      <c r="N33" s="51"/>
      <c r="O33" s="51"/>
      <c r="P33" s="50" t="str">
        <f t="shared" si="1"/>
        <v/>
      </c>
      <c r="Q33" s="31"/>
      <c r="R33" s="47" t="str">
        <f>IFERROR(VLOOKUP(L33,#REF!,4,0),"")</f>
        <v/>
      </c>
      <c r="S33" s="53" t="str">
        <f t="shared" si="2"/>
        <v/>
      </c>
      <c r="T33" s="54" t="e">
        <f t="shared" si="3"/>
        <v>#VALUE!</v>
      </c>
      <c r="U33" s="22" t="e">
        <f>IF(E33*J33*M33=0,"",IF((Q33*M33*N33*O33)/E33&lt;IF(IFERROR(VLOOKUP(D33,NBR!$C:$D,2,0),J33)=IFERROR(VLOOKUP(D33,NBR!$C:$F,4,0),J33),J33*0.9,IFERROR(VLOOKUP(D33,NBR!$C:$D,2,0),J33*0.9)),"COLOCAR +"&amp;TEXT(ROUNDUP((E33*J33)/(M33*N33*O33),0)-Q33,"0")&amp;" luminaria(s)",IF((Q33*M33*N33*O33)/E33&gt;IF(IFERROR(VLOOKUP(D33,NBR!$C:$F,4,0),J33)=IFERROR(VLOOKUP(D33,NBR!$C:$D,2,0),J33),J33*1.2,IFERROR(VLOOKUP(D33,NBR!$C:$F,4,0),J33*1.2)),IF(Q33=1,"Reduzir potencia luminaria","RETIRAR -"&amp;TEXT(Q33-ROUNDUP((E33*IF(IFERROR(VLOOKUP(D33,NBR!$C:$F,4,0),J33)=J33,J33*1.2,IFERROR(VLOOKUP(D33,NBR!$C:$F,4,0),J33*1.2)))/(M33*N33*O33),0),"0")&amp;" luminaria(s)"),"OK")))</f>
        <v>#VALUE!</v>
      </c>
      <c r="V33" s="52" t="e">
        <f t="shared" si="0"/>
        <v>#VALUE!</v>
      </c>
      <c r="W33" s="60"/>
      <c r="X33" s="60"/>
      <c r="Y33" s="60"/>
      <c r="AA33" s="61"/>
      <c r="AB33" s="34"/>
      <c r="AC33" s="34"/>
      <c r="AD33" s="34"/>
    </row>
    <row r="34" spans="1:30" ht="18" customHeight="1" x14ac:dyDescent="0.25">
      <c r="A34" s="86"/>
      <c r="B34" s="86"/>
      <c r="C34" s="83"/>
      <c r="D34" s="17"/>
      <c r="E34" s="43"/>
      <c r="F34" s="43"/>
      <c r="G34" s="27"/>
      <c r="H34" s="27"/>
      <c r="I34" s="27"/>
      <c r="J34" s="44" t="str">
        <f>IFERROR(VLOOKUP(D34,NBR!$C:$E,3,0),"")</f>
        <v/>
      </c>
      <c r="K34" s="43" t="str">
        <f t="shared" si="4"/>
        <v/>
      </c>
      <c r="L34" s="45"/>
      <c r="M34" s="46" t="str">
        <f>IFERROR(VLOOKUP(L34,LAMPADAS!$A:$B,2,0),"")</f>
        <v/>
      </c>
      <c r="N34" s="27"/>
      <c r="O34" s="27"/>
      <c r="P34" s="45" t="str">
        <f t="shared" si="1"/>
        <v/>
      </c>
      <c r="Q34" s="29"/>
      <c r="R34" s="47" t="str">
        <f>IFERROR(VLOOKUP(L34,#REF!,4,0),"")</f>
        <v/>
      </c>
      <c r="S34" s="48" t="str">
        <f t="shared" si="2"/>
        <v/>
      </c>
      <c r="T34" s="49" t="e">
        <f t="shared" si="3"/>
        <v>#VALUE!</v>
      </c>
      <c r="U34" s="17" t="e">
        <f>IF(E34*J34*M34=0,"",IF((Q34*M34*N34*O34)/E34&lt;IF(IFERROR(VLOOKUP(D34,NBR!$C:$D,2,0),J34)=IFERROR(VLOOKUP(D34,NBR!$C:$F,4,0),J34),J34*0.9,IFERROR(VLOOKUP(D34,NBR!$C:$D,2,0),J34*0.9)),"COLOCAR +"&amp;TEXT(ROUNDUP((E34*J34)/(M34*N34*O34),0)-Q34,"0")&amp;" luminaria(s)",IF((Q34*M34*N34*O34)/E34&gt;IF(IFERROR(VLOOKUP(D34,NBR!$C:$F,4,0),J34)=IFERROR(VLOOKUP(D34,NBR!$C:$D,2,0),J34),J34*1.2,IFERROR(VLOOKUP(D34,NBR!$C:$F,4,0),J34*1.2)),IF(Q34=1,"Reduzir potencia luminaria","RETIRAR -"&amp;TEXT(Q34-ROUNDUP((E34*IF(IFERROR(VLOOKUP(D34,NBR!$C:$F,4,0),J34)=J34,J34*1.2,IFERROR(VLOOKUP(D34,NBR!$C:$F,4,0),J34*1.2)))/(M34*N34*O34),0),"0")&amp;" luminaria(s)"),"OK")))</f>
        <v>#VALUE!</v>
      </c>
      <c r="V34" s="48" t="e">
        <f t="shared" si="0"/>
        <v>#VALUE!</v>
      </c>
      <c r="W34" s="57"/>
      <c r="X34" s="55"/>
      <c r="Y34" s="56"/>
      <c r="AA34" s="34"/>
      <c r="AB34" s="34"/>
      <c r="AC34" s="34"/>
      <c r="AD34" s="34"/>
    </row>
    <row r="35" spans="1:30" ht="18" customHeight="1" x14ac:dyDescent="0.25">
      <c r="A35" s="85"/>
      <c r="B35" s="85"/>
      <c r="C35" s="58"/>
      <c r="D35" s="59"/>
      <c r="E35" s="50"/>
      <c r="F35" s="50"/>
      <c r="G35" s="51"/>
      <c r="H35" s="51"/>
      <c r="I35" s="51"/>
      <c r="J35" s="44" t="str">
        <f>IFERROR(VLOOKUP(D35,NBR!$C:$E,3,0),"")</f>
        <v/>
      </c>
      <c r="K35" s="50" t="str">
        <f t="shared" si="4"/>
        <v/>
      </c>
      <c r="L35" s="82"/>
      <c r="M35" s="46" t="str">
        <f>IFERROR(VLOOKUP(L35,LAMPADAS!$A:$B,2,0),"")</f>
        <v/>
      </c>
      <c r="N35" s="51"/>
      <c r="O35" s="51"/>
      <c r="P35" s="50" t="str">
        <f t="shared" si="1"/>
        <v/>
      </c>
      <c r="Q35" s="31"/>
      <c r="R35" s="47" t="str">
        <f>IFERROR(VLOOKUP(L35,#REF!,4,0),"")</f>
        <v/>
      </c>
      <c r="S35" s="53" t="str">
        <f t="shared" si="2"/>
        <v/>
      </c>
      <c r="T35" s="54" t="e">
        <f t="shared" si="3"/>
        <v>#VALUE!</v>
      </c>
      <c r="U35" s="22" t="e">
        <f>IF(E35*J35*M35=0,"",IF((Q35*M35*N35*O35)/E35&lt;IF(IFERROR(VLOOKUP(D35,NBR!$C:$D,2,0),J35)=IFERROR(VLOOKUP(D35,NBR!$C:$F,4,0),J35),J35*0.9,IFERROR(VLOOKUP(D35,NBR!$C:$D,2,0),J35*0.9)),"COLOCAR +"&amp;TEXT(ROUNDUP((E35*J35)/(M35*N35*O35),0)-Q35,"0")&amp;" luminaria(s)",IF((Q35*M35*N35*O35)/E35&gt;IF(IFERROR(VLOOKUP(D35,NBR!$C:$F,4,0),J35)=IFERROR(VLOOKUP(D35,NBR!$C:$D,2,0),J35),J35*1.2,IFERROR(VLOOKUP(D35,NBR!$C:$F,4,0),J35*1.2)),IF(Q35=1,"Reduzir potencia luminaria","RETIRAR -"&amp;TEXT(Q35-ROUNDUP((E35*IF(IFERROR(VLOOKUP(D35,NBR!$C:$F,4,0),J35)=J35,J35*1.2,IFERROR(VLOOKUP(D35,NBR!$C:$F,4,0),J35*1.2)))/(M35*N35*O35),0),"0")&amp;" luminaria(s)"),"OK")))</f>
        <v>#VALUE!</v>
      </c>
      <c r="V35" s="52" t="e">
        <f t="shared" si="0"/>
        <v>#VALUE!</v>
      </c>
      <c r="W35" s="60"/>
      <c r="X35" s="60"/>
      <c r="Y35" s="60"/>
      <c r="AA35" s="61"/>
      <c r="AB35" s="34"/>
      <c r="AC35" s="34"/>
      <c r="AD35" s="34"/>
    </row>
    <row r="36" spans="1:30" ht="18" customHeight="1" x14ac:dyDescent="0.25">
      <c r="A36" s="86"/>
      <c r="B36" s="86"/>
      <c r="C36" s="83"/>
      <c r="D36" s="17"/>
      <c r="E36" s="43"/>
      <c r="F36" s="43"/>
      <c r="G36" s="27"/>
      <c r="H36" s="27"/>
      <c r="I36" s="27"/>
      <c r="J36" s="44" t="str">
        <f>IFERROR(VLOOKUP(D36,NBR!$C:$E,3,0),"")</f>
        <v/>
      </c>
      <c r="K36" s="43" t="str">
        <f t="shared" si="4"/>
        <v/>
      </c>
      <c r="L36" s="45"/>
      <c r="M36" s="46" t="str">
        <f>IFERROR(VLOOKUP(L36,LAMPADAS!$A:$B,2,0),"")</f>
        <v/>
      </c>
      <c r="N36" s="27"/>
      <c r="O36" s="27"/>
      <c r="P36" s="45" t="str">
        <f t="shared" si="1"/>
        <v/>
      </c>
      <c r="Q36" s="29"/>
      <c r="R36" s="47" t="str">
        <f>IFERROR(VLOOKUP(L36,#REF!,4,0),"")</f>
        <v/>
      </c>
      <c r="S36" s="48" t="str">
        <f t="shared" si="2"/>
        <v/>
      </c>
      <c r="T36" s="49" t="e">
        <f t="shared" si="3"/>
        <v>#VALUE!</v>
      </c>
      <c r="U36" s="17" t="e">
        <f>IF(E36*J36*M36=0,"",IF((Q36*M36*N36*O36)/E36&lt;IF(IFERROR(VLOOKUP(D36,NBR!$C:$D,2,0),J36)=IFERROR(VLOOKUP(D36,NBR!$C:$F,4,0),J36),J36*0.9,IFERROR(VLOOKUP(D36,NBR!$C:$D,2,0),J36*0.9)),"COLOCAR +"&amp;TEXT(ROUNDUP((E36*J36)/(M36*N36*O36),0)-Q36,"0")&amp;" luminaria(s)",IF((Q36*M36*N36*O36)/E36&gt;IF(IFERROR(VLOOKUP(D36,NBR!$C:$F,4,0),J36)=IFERROR(VLOOKUP(D36,NBR!$C:$D,2,0),J36),J36*1.2,IFERROR(VLOOKUP(D36,NBR!$C:$F,4,0),J36*1.2)),IF(Q36=1,"Reduzir potencia luminaria","RETIRAR -"&amp;TEXT(Q36-ROUNDUP((E36*IF(IFERROR(VLOOKUP(D36,NBR!$C:$F,4,0),J36)=J36,J36*1.2,IFERROR(VLOOKUP(D36,NBR!$C:$F,4,0),J36*1.2)))/(M36*N36*O36),0),"0")&amp;" luminaria(s)"),"OK")))</f>
        <v>#VALUE!</v>
      </c>
      <c r="V36" s="48" t="e">
        <f t="shared" si="0"/>
        <v>#VALUE!</v>
      </c>
      <c r="W36" s="57"/>
      <c r="X36" s="55"/>
      <c r="Y36" s="56"/>
      <c r="AA36" s="34"/>
      <c r="AB36" s="34"/>
      <c r="AC36" s="34"/>
      <c r="AD36" s="34"/>
    </row>
    <row r="37" spans="1:30" ht="18" customHeight="1" x14ac:dyDescent="0.25">
      <c r="A37" s="85"/>
      <c r="B37" s="85"/>
      <c r="C37" s="58"/>
      <c r="D37" s="59"/>
      <c r="E37" s="50"/>
      <c r="F37" s="50"/>
      <c r="G37" s="51"/>
      <c r="H37" s="51"/>
      <c r="I37" s="51"/>
      <c r="J37" s="44" t="str">
        <f>IFERROR(VLOOKUP(D37,NBR!$C:$E,3,0),"")</f>
        <v/>
      </c>
      <c r="K37" s="50" t="str">
        <f t="shared" si="4"/>
        <v/>
      </c>
      <c r="L37" s="82"/>
      <c r="M37" s="46" t="str">
        <f>IFERROR(VLOOKUP(L37,LAMPADAS!$A:$B,2,0),"")</f>
        <v/>
      </c>
      <c r="N37" s="51"/>
      <c r="O37" s="51"/>
      <c r="P37" s="50" t="str">
        <f t="shared" si="1"/>
        <v/>
      </c>
      <c r="Q37" s="31"/>
      <c r="R37" s="47" t="str">
        <f>IFERROR(VLOOKUP(L37,#REF!,4,0),"")</f>
        <v/>
      </c>
      <c r="S37" s="53" t="str">
        <f t="shared" si="2"/>
        <v/>
      </c>
      <c r="T37" s="54" t="e">
        <f t="shared" si="3"/>
        <v>#VALUE!</v>
      </c>
      <c r="U37" s="22" t="e">
        <f>IF(E37*J37*M37=0,"",IF((Q37*M37*N37*O37)/E37&lt;IF(IFERROR(VLOOKUP(D37,NBR!$C:$D,2,0),J37)=IFERROR(VLOOKUP(D37,NBR!$C:$F,4,0),J37),J37*0.9,IFERROR(VLOOKUP(D37,NBR!$C:$D,2,0),J37*0.9)),"COLOCAR +"&amp;TEXT(ROUNDUP((E37*J37)/(M37*N37*O37),0)-Q37,"0")&amp;" luminaria(s)",IF((Q37*M37*N37*O37)/E37&gt;IF(IFERROR(VLOOKUP(D37,NBR!$C:$F,4,0),J37)=IFERROR(VLOOKUP(D37,NBR!$C:$D,2,0),J37),J37*1.2,IFERROR(VLOOKUP(D37,NBR!$C:$F,4,0),J37*1.2)),IF(Q37=1,"Reduzir potencia luminaria","RETIRAR -"&amp;TEXT(Q37-ROUNDUP((E37*IF(IFERROR(VLOOKUP(D37,NBR!$C:$F,4,0),J37)=J37,J37*1.2,IFERROR(VLOOKUP(D37,NBR!$C:$F,4,0),J37*1.2)))/(M37*N37*O37),0),"0")&amp;" luminaria(s)"),"OK")))</f>
        <v>#VALUE!</v>
      </c>
      <c r="V37" s="52" t="e">
        <f t="shared" si="0"/>
        <v>#VALUE!</v>
      </c>
      <c r="W37" s="60"/>
      <c r="X37" s="60"/>
      <c r="Y37" s="60"/>
      <c r="AA37" s="61"/>
      <c r="AB37" s="34"/>
      <c r="AC37" s="34"/>
      <c r="AD37" s="34"/>
    </row>
    <row r="38" spans="1:30" ht="18" customHeight="1" x14ac:dyDescent="0.25">
      <c r="A38" s="86"/>
      <c r="B38" s="86"/>
      <c r="C38" s="83"/>
      <c r="D38" s="17"/>
      <c r="E38" s="43"/>
      <c r="F38" s="43"/>
      <c r="G38" s="27"/>
      <c r="H38" s="27"/>
      <c r="I38" s="27"/>
      <c r="J38" s="44" t="str">
        <f>IFERROR(VLOOKUP(D38,NBR!$C:$E,3,0),"")</f>
        <v/>
      </c>
      <c r="K38" s="43" t="str">
        <f t="shared" si="4"/>
        <v/>
      </c>
      <c r="L38" s="45"/>
      <c r="M38" s="46" t="str">
        <f>IFERROR(VLOOKUP(L38,LAMPADAS!$A:$B,2,0),"")</f>
        <v/>
      </c>
      <c r="N38" s="27"/>
      <c r="O38" s="27"/>
      <c r="P38" s="45" t="str">
        <f t="shared" si="1"/>
        <v/>
      </c>
      <c r="Q38" s="29"/>
      <c r="R38" s="47" t="str">
        <f>IFERROR(VLOOKUP(L38,#REF!,4,0),"")</f>
        <v/>
      </c>
      <c r="S38" s="48" t="str">
        <f t="shared" si="2"/>
        <v/>
      </c>
      <c r="T38" s="49" t="e">
        <f t="shared" si="3"/>
        <v>#VALUE!</v>
      </c>
      <c r="U38" s="17" t="e">
        <f>IF(E38*J38*M38=0,"",IF((Q38*M38*N38*O38)/E38&lt;IF(IFERROR(VLOOKUP(D38,NBR!$C:$D,2,0),J38)=IFERROR(VLOOKUP(D38,NBR!$C:$F,4,0),J38),J38*0.9,IFERROR(VLOOKUP(D38,NBR!$C:$D,2,0),J38*0.9)),"COLOCAR +"&amp;TEXT(ROUNDUP((E38*J38)/(M38*N38*O38),0)-Q38,"0")&amp;" luminaria(s)",IF((Q38*M38*N38*O38)/E38&gt;IF(IFERROR(VLOOKUP(D38,NBR!$C:$F,4,0),J38)=IFERROR(VLOOKUP(D38,NBR!$C:$D,2,0),J38),J38*1.2,IFERROR(VLOOKUP(D38,NBR!$C:$F,4,0),J38*1.2)),IF(Q38=1,"Reduzir potencia luminaria","RETIRAR -"&amp;TEXT(Q38-ROUNDUP((E38*IF(IFERROR(VLOOKUP(D38,NBR!$C:$F,4,0),J38)=J38,J38*1.2,IFERROR(VLOOKUP(D38,NBR!$C:$F,4,0),J38*1.2)))/(M38*N38*O38),0),"0")&amp;" luminaria(s)"),"OK")))</f>
        <v>#VALUE!</v>
      </c>
      <c r="V38" s="48" t="e">
        <f t="shared" si="0"/>
        <v>#VALUE!</v>
      </c>
      <c r="W38" s="57"/>
      <c r="X38" s="55"/>
      <c r="Y38" s="56"/>
      <c r="AA38" s="34"/>
      <c r="AB38" s="34"/>
      <c r="AC38" s="34"/>
      <c r="AD38" s="34"/>
    </row>
    <row r="39" spans="1:30" ht="18" customHeight="1" x14ac:dyDescent="0.25">
      <c r="A39" s="85"/>
      <c r="B39" s="85"/>
      <c r="C39" s="58"/>
      <c r="D39" s="59"/>
      <c r="E39" s="50"/>
      <c r="F39" s="50"/>
      <c r="G39" s="51"/>
      <c r="H39" s="51"/>
      <c r="I39" s="51"/>
      <c r="J39" s="44" t="str">
        <f>IFERROR(VLOOKUP(D39,NBR!$C:$E,3,0),"")</f>
        <v/>
      </c>
      <c r="K39" s="50" t="str">
        <f t="shared" si="4"/>
        <v/>
      </c>
      <c r="L39" s="82"/>
      <c r="M39" s="46" t="str">
        <f>IFERROR(VLOOKUP(L39,LAMPADAS!$A:$B,2,0),"")</f>
        <v/>
      </c>
      <c r="N39" s="51"/>
      <c r="O39" s="51"/>
      <c r="P39" s="50" t="str">
        <f t="shared" si="1"/>
        <v/>
      </c>
      <c r="Q39" s="31"/>
      <c r="R39" s="47" t="str">
        <f>IFERROR(VLOOKUP(L39,#REF!,4,0),"")</f>
        <v/>
      </c>
      <c r="S39" s="53" t="str">
        <f t="shared" si="2"/>
        <v/>
      </c>
      <c r="T39" s="54" t="e">
        <f t="shared" si="3"/>
        <v>#VALUE!</v>
      </c>
      <c r="U39" s="22" t="e">
        <f>IF(E39*J39*M39=0,"",IF((Q39*M39*N39*O39)/E39&lt;IF(IFERROR(VLOOKUP(D39,NBR!$C:$D,2,0),J39)=IFERROR(VLOOKUP(D39,NBR!$C:$F,4,0),J39),J39*0.9,IFERROR(VLOOKUP(D39,NBR!$C:$D,2,0),J39*0.9)),"COLOCAR +"&amp;TEXT(ROUNDUP((E39*J39)/(M39*N39*O39),0)-Q39,"0")&amp;" luminaria(s)",IF((Q39*M39*N39*O39)/E39&gt;IF(IFERROR(VLOOKUP(D39,NBR!$C:$F,4,0),J39)=IFERROR(VLOOKUP(D39,NBR!$C:$D,2,0),J39),J39*1.2,IFERROR(VLOOKUP(D39,NBR!$C:$F,4,0),J39*1.2)),IF(Q39=1,"Reduzir potencia luminaria","RETIRAR -"&amp;TEXT(Q39-ROUNDUP((E39*IF(IFERROR(VLOOKUP(D39,NBR!$C:$F,4,0),J39)=J39,J39*1.2,IFERROR(VLOOKUP(D39,NBR!$C:$F,4,0),J39*1.2)))/(M39*N39*O39),0),"0")&amp;" luminaria(s)"),"OK")))</f>
        <v>#VALUE!</v>
      </c>
      <c r="V39" s="52" t="e">
        <f t="shared" si="0"/>
        <v>#VALUE!</v>
      </c>
      <c r="W39" s="60"/>
      <c r="X39" s="60"/>
      <c r="Y39" s="60"/>
      <c r="AA39" s="61"/>
      <c r="AB39" s="34"/>
      <c r="AC39" s="34"/>
      <c r="AD39" s="34"/>
    </row>
    <row r="40" spans="1:30" ht="18" customHeight="1" x14ac:dyDescent="0.25">
      <c r="A40" s="86"/>
      <c r="B40" s="86"/>
      <c r="C40" s="83"/>
      <c r="D40" s="17"/>
      <c r="E40" s="43"/>
      <c r="F40" s="43"/>
      <c r="G40" s="27"/>
      <c r="H40" s="27"/>
      <c r="I40" s="27"/>
      <c r="J40" s="44" t="str">
        <f>IFERROR(VLOOKUP(D40,NBR!$C:$E,3,0),"")</f>
        <v/>
      </c>
      <c r="K40" s="43" t="str">
        <f t="shared" si="4"/>
        <v/>
      </c>
      <c r="L40" s="45"/>
      <c r="M40" s="46" t="str">
        <f>IFERROR(VLOOKUP(L40,LAMPADAS!$A:$B,2,0),"")</f>
        <v/>
      </c>
      <c r="N40" s="27"/>
      <c r="O40" s="27"/>
      <c r="P40" s="45" t="str">
        <f t="shared" si="1"/>
        <v/>
      </c>
      <c r="Q40" s="29"/>
      <c r="R40" s="47" t="str">
        <f>IFERROR(VLOOKUP(L40,#REF!,4,0),"")</f>
        <v/>
      </c>
      <c r="S40" s="48" t="str">
        <f t="shared" si="2"/>
        <v/>
      </c>
      <c r="T40" s="49" t="e">
        <f t="shared" si="3"/>
        <v>#VALUE!</v>
      </c>
      <c r="U40" s="17" t="e">
        <f>IF(E40*J40*M40=0,"",IF((Q40*M40*N40*O40)/E40&lt;IF(IFERROR(VLOOKUP(D40,NBR!$C:$D,2,0),J40)=IFERROR(VLOOKUP(D40,NBR!$C:$F,4,0),J40),J40*0.9,IFERROR(VLOOKUP(D40,NBR!$C:$D,2,0),J40*0.9)),"COLOCAR +"&amp;TEXT(ROUNDUP((E40*J40)/(M40*N40*O40),0)-Q40,"0")&amp;" luminaria(s)",IF((Q40*M40*N40*O40)/E40&gt;IF(IFERROR(VLOOKUP(D40,NBR!$C:$F,4,0),J40)=IFERROR(VLOOKUP(D40,NBR!$C:$D,2,0),J40),J40*1.2,IFERROR(VLOOKUP(D40,NBR!$C:$F,4,0),J40*1.2)),IF(Q40=1,"Reduzir potencia luminaria","RETIRAR -"&amp;TEXT(Q40-ROUNDUP((E40*IF(IFERROR(VLOOKUP(D40,NBR!$C:$F,4,0),J40)=J40,J40*1.2,IFERROR(VLOOKUP(D40,NBR!$C:$F,4,0),J40*1.2)))/(M40*N40*O40),0),"0")&amp;" luminaria(s)"),"OK")))</f>
        <v>#VALUE!</v>
      </c>
      <c r="V40" s="48" t="e">
        <f t="shared" si="0"/>
        <v>#VALUE!</v>
      </c>
      <c r="W40" s="57"/>
      <c r="X40" s="55"/>
      <c r="Y40" s="56"/>
      <c r="AA40" s="34"/>
      <c r="AB40" s="34"/>
      <c r="AC40" s="34"/>
      <c r="AD40" s="34"/>
    </row>
    <row r="41" spans="1:30" ht="18" customHeight="1" x14ac:dyDescent="0.25">
      <c r="A41" s="85"/>
      <c r="B41" s="85"/>
      <c r="C41" s="58"/>
      <c r="D41" s="59"/>
      <c r="E41" s="50"/>
      <c r="F41" s="50"/>
      <c r="G41" s="51"/>
      <c r="H41" s="51"/>
      <c r="I41" s="51"/>
      <c r="J41" s="44" t="str">
        <f>IFERROR(VLOOKUP(D41,NBR!$C:$E,3,0),"")</f>
        <v/>
      </c>
      <c r="K41" s="50" t="str">
        <f t="shared" si="4"/>
        <v/>
      </c>
      <c r="L41" s="82"/>
      <c r="M41" s="46" t="str">
        <f>IFERROR(VLOOKUP(L41,LAMPADAS!$A:$B,2,0),"")</f>
        <v/>
      </c>
      <c r="N41" s="51"/>
      <c r="O41" s="51"/>
      <c r="P41" s="50" t="str">
        <f t="shared" si="1"/>
        <v/>
      </c>
      <c r="Q41" s="31"/>
      <c r="R41" s="47" t="str">
        <f>IFERROR(VLOOKUP(L41,#REF!,4,0),"")</f>
        <v/>
      </c>
      <c r="S41" s="53" t="str">
        <f t="shared" si="2"/>
        <v/>
      </c>
      <c r="T41" s="54" t="e">
        <f t="shared" si="3"/>
        <v>#VALUE!</v>
      </c>
      <c r="U41" s="22" t="e">
        <f>IF(E41*J41*M41=0,"",IF((Q41*M41*N41*O41)/E41&lt;IF(IFERROR(VLOOKUP(D41,NBR!$C:$D,2,0),J41)=IFERROR(VLOOKUP(D41,NBR!$C:$F,4,0),J41),J41*0.9,IFERROR(VLOOKUP(D41,NBR!$C:$D,2,0),J41*0.9)),"COLOCAR +"&amp;TEXT(ROUNDUP((E41*J41)/(M41*N41*O41),0)-Q41,"0")&amp;" luminaria(s)",IF((Q41*M41*N41*O41)/E41&gt;IF(IFERROR(VLOOKUP(D41,NBR!$C:$F,4,0),J41)=IFERROR(VLOOKUP(D41,NBR!$C:$D,2,0),J41),J41*1.2,IFERROR(VLOOKUP(D41,NBR!$C:$F,4,0),J41*1.2)),IF(Q41=1,"Reduzir potencia luminaria","RETIRAR -"&amp;TEXT(Q41-ROUNDUP((E41*IF(IFERROR(VLOOKUP(D41,NBR!$C:$F,4,0),J41)=J41,J41*1.2,IFERROR(VLOOKUP(D41,NBR!$C:$F,4,0),J41*1.2)))/(M41*N41*O41),0),"0")&amp;" luminaria(s)"),"OK")))</f>
        <v>#VALUE!</v>
      </c>
      <c r="V41" s="52" t="e">
        <f t="shared" si="0"/>
        <v>#VALUE!</v>
      </c>
      <c r="W41" s="60"/>
      <c r="X41" s="60"/>
      <c r="Y41" s="60"/>
      <c r="AA41" s="61"/>
      <c r="AB41" s="34"/>
      <c r="AC41" s="34"/>
      <c r="AD41" s="34"/>
    </row>
    <row r="42" spans="1:30" ht="18" customHeight="1" x14ac:dyDescent="0.25">
      <c r="A42" s="86"/>
      <c r="B42" s="86"/>
      <c r="C42" s="83"/>
      <c r="D42" s="17"/>
      <c r="E42" s="43"/>
      <c r="F42" s="43"/>
      <c r="G42" s="27"/>
      <c r="H42" s="27"/>
      <c r="I42" s="27"/>
      <c r="J42" s="44" t="str">
        <f>IFERROR(VLOOKUP(D42,NBR!$C:$E,3,0),"")</f>
        <v/>
      </c>
      <c r="K42" s="43" t="str">
        <f t="shared" si="4"/>
        <v/>
      </c>
      <c r="L42" s="45"/>
      <c r="M42" s="46" t="str">
        <f>IFERROR(VLOOKUP(L42,LAMPADAS!$A:$B,2,0),"")</f>
        <v/>
      </c>
      <c r="N42" s="27"/>
      <c r="O42" s="27"/>
      <c r="P42" s="45" t="str">
        <f t="shared" si="1"/>
        <v/>
      </c>
      <c r="Q42" s="29"/>
      <c r="R42" s="47" t="str">
        <f>IFERROR(VLOOKUP(L42,#REF!,4,0),"")</f>
        <v/>
      </c>
      <c r="S42" s="48" t="str">
        <f t="shared" si="2"/>
        <v/>
      </c>
      <c r="T42" s="49" t="e">
        <f t="shared" si="3"/>
        <v>#VALUE!</v>
      </c>
      <c r="U42" s="17" t="e">
        <f>IF(E42*J42*M42=0,"",IF((Q42*M42*N42*O42)/E42&lt;IF(IFERROR(VLOOKUP(D42,NBR!$C:$D,2,0),J42)=IFERROR(VLOOKUP(D42,NBR!$C:$F,4,0),J42),J42*0.9,IFERROR(VLOOKUP(D42,NBR!$C:$D,2,0),J42*0.9)),"COLOCAR +"&amp;TEXT(ROUNDUP((E42*J42)/(M42*N42*O42),0)-Q42,"0")&amp;" luminaria(s)",IF((Q42*M42*N42*O42)/E42&gt;IF(IFERROR(VLOOKUP(D42,NBR!$C:$F,4,0),J42)=IFERROR(VLOOKUP(D42,NBR!$C:$D,2,0),J42),J42*1.2,IFERROR(VLOOKUP(D42,NBR!$C:$F,4,0),J42*1.2)),IF(Q42=1,"Reduzir potencia luminaria","RETIRAR -"&amp;TEXT(Q42-ROUNDUP((E42*IF(IFERROR(VLOOKUP(D42,NBR!$C:$F,4,0),J42)=J42,J42*1.2,IFERROR(VLOOKUP(D42,NBR!$C:$F,4,0),J42*1.2)))/(M42*N42*O42),0),"0")&amp;" luminaria(s)"),"OK")))</f>
        <v>#VALUE!</v>
      </c>
      <c r="V42" s="48" t="e">
        <f t="shared" si="0"/>
        <v>#VALUE!</v>
      </c>
      <c r="W42" s="57"/>
      <c r="X42" s="55"/>
      <c r="Y42" s="56"/>
      <c r="AA42" s="34"/>
      <c r="AB42" s="34"/>
      <c r="AC42" s="34"/>
      <c r="AD42" s="34"/>
    </row>
    <row r="43" spans="1:30" ht="18" customHeight="1" x14ac:dyDescent="0.25">
      <c r="A43" s="85"/>
      <c r="B43" s="85"/>
      <c r="C43" s="58"/>
      <c r="D43" s="59"/>
      <c r="E43" s="50"/>
      <c r="F43" s="50"/>
      <c r="G43" s="51"/>
      <c r="H43" s="51"/>
      <c r="I43" s="51"/>
      <c r="J43" s="44" t="str">
        <f>IFERROR(VLOOKUP(D43,NBR!$C:$E,3,0),"")</f>
        <v/>
      </c>
      <c r="K43" s="50" t="str">
        <f t="shared" si="4"/>
        <v/>
      </c>
      <c r="L43" s="82"/>
      <c r="M43" s="46" t="str">
        <f>IFERROR(VLOOKUP(L43,LAMPADAS!$A:$B,2,0),"")</f>
        <v/>
      </c>
      <c r="N43" s="51"/>
      <c r="O43" s="51"/>
      <c r="P43" s="50" t="str">
        <f t="shared" si="1"/>
        <v/>
      </c>
      <c r="Q43" s="31"/>
      <c r="R43" s="47" t="str">
        <f>IFERROR(VLOOKUP(L43,#REF!,4,0),"")</f>
        <v/>
      </c>
      <c r="S43" s="53" t="str">
        <f t="shared" si="2"/>
        <v/>
      </c>
      <c r="T43" s="54" t="e">
        <f t="shared" si="3"/>
        <v>#VALUE!</v>
      </c>
      <c r="U43" s="22" t="e">
        <f>IF(E43*J43*M43=0,"",IF((Q43*M43*N43*O43)/E43&lt;IF(IFERROR(VLOOKUP(D43,NBR!$C:$D,2,0),J43)=IFERROR(VLOOKUP(D43,NBR!$C:$F,4,0),J43),J43*0.9,IFERROR(VLOOKUP(D43,NBR!$C:$D,2,0),J43*0.9)),"COLOCAR +"&amp;TEXT(ROUNDUP((E43*J43)/(M43*N43*O43),0)-Q43,"0")&amp;" luminaria(s)",IF((Q43*M43*N43*O43)/E43&gt;IF(IFERROR(VLOOKUP(D43,NBR!$C:$F,4,0),J43)=IFERROR(VLOOKUP(D43,NBR!$C:$D,2,0),J43),J43*1.2,IFERROR(VLOOKUP(D43,NBR!$C:$F,4,0),J43*1.2)),IF(Q43=1,"Reduzir potencia luminaria","RETIRAR -"&amp;TEXT(Q43-ROUNDUP((E43*IF(IFERROR(VLOOKUP(D43,NBR!$C:$F,4,0),J43)=J43,J43*1.2,IFERROR(VLOOKUP(D43,NBR!$C:$F,4,0),J43*1.2)))/(M43*N43*O43),0),"0")&amp;" luminaria(s)"),"OK")))</f>
        <v>#VALUE!</v>
      </c>
      <c r="V43" s="52" t="e">
        <f t="shared" si="0"/>
        <v>#VALUE!</v>
      </c>
      <c r="W43" s="60"/>
      <c r="X43" s="60"/>
      <c r="Y43" s="60"/>
      <c r="AA43" s="61"/>
      <c r="AB43" s="34"/>
      <c r="AC43" s="34"/>
      <c r="AD43" s="34"/>
    </row>
    <row r="44" spans="1:30" ht="18" customHeight="1" x14ac:dyDescent="0.25">
      <c r="A44" s="86"/>
      <c r="B44" s="86"/>
      <c r="C44" s="83"/>
      <c r="D44" s="17"/>
      <c r="E44" s="43"/>
      <c r="F44" s="43"/>
      <c r="G44" s="27"/>
      <c r="H44" s="27"/>
      <c r="I44" s="27"/>
      <c r="J44" s="44" t="str">
        <f>IFERROR(VLOOKUP(D44,NBR!$C:$E,3,0),"")</f>
        <v/>
      </c>
      <c r="K44" s="43" t="str">
        <f t="shared" si="4"/>
        <v/>
      </c>
      <c r="L44" s="45"/>
      <c r="M44" s="46" t="str">
        <f>IFERROR(VLOOKUP(L44,LAMPADAS!$A:$B,2,0),"")</f>
        <v/>
      </c>
      <c r="N44" s="27"/>
      <c r="O44" s="27"/>
      <c r="P44" s="45" t="str">
        <f t="shared" si="1"/>
        <v/>
      </c>
      <c r="Q44" s="29"/>
      <c r="R44" s="47" t="str">
        <f>IFERROR(VLOOKUP(L44,#REF!,4,0),"")</f>
        <v/>
      </c>
      <c r="S44" s="48" t="str">
        <f t="shared" si="2"/>
        <v/>
      </c>
      <c r="T44" s="49" t="e">
        <f t="shared" si="3"/>
        <v>#VALUE!</v>
      </c>
      <c r="U44" s="17" t="e">
        <f>IF(E44*J44*M44=0,"",IF((Q44*M44*N44*O44)/E44&lt;IF(IFERROR(VLOOKUP(D44,NBR!$C:$D,2,0),J44)=IFERROR(VLOOKUP(D44,NBR!$C:$F,4,0),J44),J44*0.9,IFERROR(VLOOKUP(D44,NBR!$C:$D,2,0),J44*0.9)),"COLOCAR +"&amp;TEXT(ROUNDUP((E44*J44)/(M44*N44*O44),0)-Q44,"0")&amp;" luminaria(s)",IF((Q44*M44*N44*O44)/E44&gt;IF(IFERROR(VLOOKUP(D44,NBR!$C:$F,4,0),J44)=IFERROR(VLOOKUP(D44,NBR!$C:$D,2,0),J44),J44*1.2,IFERROR(VLOOKUP(D44,NBR!$C:$F,4,0),J44*1.2)),IF(Q44=1,"Reduzir potencia luminaria","RETIRAR -"&amp;TEXT(Q44-ROUNDUP((E44*IF(IFERROR(VLOOKUP(D44,NBR!$C:$F,4,0),J44)=J44,J44*1.2,IFERROR(VLOOKUP(D44,NBR!$C:$F,4,0),J44*1.2)))/(M44*N44*O44),0),"0")&amp;" luminaria(s)"),"OK")))</f>
        <v>#VALUE!</v>
      </c>
      <c r="V44" s="48" t="e">
        <f t="shared" si="0"/>
        <v>#VALUE!</v>
      </c>
      <c r="W44" s="57"/>
      <c r="X44" s="55"/>
      <c r="Y44" s="56"/>
      <c r="AA44" s="34"/>
      <c r="AB44" s="34"/>
      <c r="AC44" s="34"/>
      <c r="AD44" s="34"/>
    </row>
    <row r="45" spans="1:30" ht="18" customHeight="1" x14ac:dyDescent="0.25">
      <c r="A45" s="85"/>
      <c r="B45" s="85"/>
      <c r="C45" s="58"/>
      <c r="D45" s="59"/>
      <c r="E45" s="50"/>
      <c r="F45" s="50"/>
      <c r="G45" s="51"/>
      <c r="H45" s="51"/>
      <c r="I45" s="51"/>
      <c r="J45" s="44" t="str">
        <f>IFERROR(VLOOKUP(D45,NBR!$C:$E,3,0),"")</f>
        <v/>
      </c>
      <c r="K45" s="50" t="str">
        <f t="shared" si="4"/>
        <v/>
      </c>
      <c r="L45" s="82"/>
      <c r="M45" s="46" t="str">
        <f>IFERROR(VLOOKUP(L45,LAMPADAS!$A:$B,2,0),"")</f>
        <v/>
      </c>
      <c r="N45" s="51"/>
      <c r="O45" s="51"/>
      <c r="P45" s="50" t="str">
        <f t="shared" si="1"/>
        <v/>
      </c>
      <c r="Q45" s="31"/>
      <c r="R45" s="47" t="str">
        <f>IFERROR(VLOOKUP(L45,#REF!,4,0),"")</f>
        <v/>
      </c>
      <c r="S45" s="53" t="str">
        <f t="shared" si="2"/>
        <v/>
      </c>
      <c r="T45" s="54" t="e">
        <f t="shared" si="3"/>
        <v>#VALUE!</v>
      </c>
      <c r="U45" s="22" t="e">
        <f>IF(E45*J45*M45=0,"",IF((Q45*M45*N45*O45)/E45&lt;IF(IFERROR(VLOOKUP(D45,NBR!$C:$D,2,0),J45)=IFERROR(VLOOKUP(D45,NBR!$C:$F,4,0),J45),J45*0.9,IFERROR(VLOOKUP(D45,NBR!$C:$D,2,0),J45*0.9)),"COLOCAR +"&amp;TEXT(ROUNDUP((E45*J45)/(M45*N45*O45),0)-Q45,"0")&amp;" luminaria(s)",IF((Q45*M45*N45*O45)/E45&gt;IF(IFERROR(VLOOKUP(D45,NBR!$C:$F,4,0),J45)=IFERROR(VLOOKUP(D45,NBR!$C:$D,2,0),J45),J45*1.2,IFERROR(VLOOKUP(D45,NBR!$C:$F,4,0),J45*1.2)),IF(Q45=1,"Reduzir potencia luminaria","RETIRAR -"&amp;TEXT(Q45-ROUNDUP((E45*IF(IFERROR(VLOOKUP(D45,NBR!$C:$F,4,0),J45)=J45,J45*1.2,IFERROR(VLOOKUP(D45,NBR!$C:$F,4,0),J45*1.2)))/(M45*N45*O45),0),"0")&amp;" luminaria(s)"),"OK")))</f>
        <v>#VALUE!</v>
      </c>
      <c r="V45" s="52" t="e">
        <f t="shared" si="0"/>
        <v>#VALUE!</v>
      </c>
      <c r="W45" s="60"/>
      <c r="X45" s="60"/>
      <c r="Y45" s="60"/>
      <c r="AA45" s="61"/>
      <c r="AB45" s="34"/>
      <c r="AC45" s="34"/>
      <c r="AD45" s="34"/>
    </row>
    <row r="46" spans="1:30" ht="18" customHeight="1" x14ac:dyDescent="0.25">
      <c r="A46" s="86"/>
      <c r="B46" s="86"/>
      <c r="C46" s="83"/>
      <c r="D46" s="17"/>
      <c r="E46" s="43"/>
      <c r="F46" s="43"/>
      <c r="G46" s="27"/>
      <c r="H46" s="27"/>
      <c r="I46" s="27"/>
      <c r="J46" s="44" t="str">
        <f>IFERROR(VLOOKUP(D46,NBR!$C:$E,3,0),"")</f>
        <v/>
      </c>
      <c r="K46" s="43" t="str">
        <f t="shared" si="4"/>
        <v/>
      </c>
      <c r="L46" s="45"/>
      <c r="M46" s="46" t="str">
        <f>IFERROR(VLOOKUP(L46,LAMPADAS!$A:$B,2,0),"")</f>
        <v/>
      </c>
      <c r="N46" s="27"/>
      <c r="O46" s="27"/>
      <c r="P46" s="45" t="str">
        <f t="shared" si="1"/>
        <v/>
      </c>
      <c r="Q46" s="29"/>
      <c r="R46" s="47" t="str">
        <f>IFERROR(VLOOKUP(L46,#REF!,4,0),"")</f>
        <v/>
      </c>
      <c r="S46" s="48" t="str">
        <f t="shared" si="2"/>
        <v/>
      </c>
      <c r="T46" s="49" t="e">
        <f t="shared" si="3"/>
        <v>#VALUE!</v>
      </c>
      <c r="U46" s="17" t="e">
        <f>IF(E46*J46*M46=0,"",IF((Q46*M46*N46*O46)/E46&lt;IF(IFERROR(VLOOKUP(D46,NBR!$C:$D,2,0),J46)=IFERROR(VLOOKUP(D46,NBR!$C:$F,4,0),J46),J46*0.9,IFERROR(VLOOKUP(D46,NBR!$C:$D,2,0),J46*0.9)),"COLOCAR +"&amp;TEXT(ROUNDUP((E46*J46)/(M46*N46*O46),0)-Q46,"0")&amp;" luminaria(s)",IF((Q46*M46*N46*O46)/E46&gt;IF(IFERROR(VLOOKUP(D46,NBR!$C:$F,4,0),J46)=IFERROR(VLOOKUP(D46,NBR!$C:$D,2,0),J46),J46*1.2,IFERROR(VLOOKUP(D46,NBR!$C:$F,4,0),J46*1.2)),IF(Q46=1,"Reduzir potencia luminaria","RETIRAR -"&amp;TEXT(Q46-ROUNDUP((E46*IF(IFERROR(VLOOKUP(D46,NBR!$C:$F,4,0),J46)=J46,J46*1.2,IFERROR(VLOOKUP(D46,NBR!$C:$F,4,0),J46*1.2)))/(M46*N46*O46),0),"0")&amp;" luminaria(s)"),"OK")))</f>
        <v>#VALUE!</v>
      </c>
      <c r="V46" s="48" t="e">
        <f t="shared" si="0"/>
        <v>#VALUE!</v>
      </c>
      <c r="W46" s="57"/>
      <c r="X46" s="55"/>
      <c r="Y46" s="56"/>
      <c r="AA46" s="34"/>
      <c r="AB46" s="34"/>
      <c r="AC46" s="34"/>
      <c r="AD46" s="34"/>
    </row>
    <row r="47" spans="1:30" ht="18" customHeight="1" x14ac:dyDescent="0.25">
      <c r="A47" s="85"/>
      <c r="B47" s="85"/>
      <c r="C47" s="58"/>
      <c r="D47" s="59"/>
      <c r="E47" s="50"/>
      <c r="F47" s="50"/>
      <c r="G47" s="51"/>
      <c r="H47" s="51"/>
      <c r="I47" s="51"/>
      <c r="J47" s="44" t="str">
        <f>IFERROR(VLOOKUP(D47,NBR!$C:$E,3,0),"")</f>
        <v/>
      </c>
      <c r="K47" s="50" t="str">
        <f t="shared" si="4"/>
        <v/>
      </c>
      <c r="L47" s="82"/>
      <c r="M47" s="46" t="str">
        <f>IFERROR(VLOOKUP(L47,LAMPADAS!$A:$B,2,0),"")</f>
        <v/>
      </c>
      <c r="N47" s="51"/>
      <c r="O47" s="51"/>
      <c r="P47" s="50" t="str">
        <f t="shared" si="1"/>
        <v/>
      </c>
      <c r="Q47" s="31"/>
      <c r="R47" s="47" t="str">
        <f>IFERROR(VLOOKUP(L47,#REF!,4,0),"")</f>
        <v/>
      </c>
      <c r="S47" s="53" t="str">
        <f t="shared" si="2"/>
        <v/>
      </c>
      <c r="T47" s="54" t="e">
        <f t="shared" si="3"/>
        <v>#VALUE!</v>
      </c>
      <c r="U47" s="22" t="e">
        <f>IF(E47*J47*M47=0,"",IF((Q47*M47*N47*O47)/E47&lt;IF(IFERROR(VLOOKUP(D47,NBR!$C:$D,2,0),J47)=IFERROR(VLOOKUP(D47,NBR!$C:$F,4,0),J47),J47*0.9,IFERROR(VLOOKUP(D47,NBR!$C:$D,2,0),J47*0.9)),"COLOCAR +"&amp;TEXT(ROUNDUP((E47*J47)/(M47*N47*O47),0)-Q47,"0")&amp;" luminaria(s)",IF((Q47*M47*N47*O47)/E47&gt;IF(IFERROR(VLOOKUP(D47,NBR!$C:$F,4,0),J47)=IFERROR(VLOOKUP(D47,NBR!$C:$D,2,0),J47),J47*1.2,IFERROR(VLOOKUP(D47,NBR!$C:$F,4,0),J47*1.2)),IF(Q47=1,"Reduzir potencia luminaria","RETIRAR -"&amp;TEXT(Q47-ROUNDUP((E47*IF(IFERROR(VLOOKUP(D47,NBR!$C:$F,4,0),J47)=J47,J47*1.2,IFERROR(VLOOKUP(D47,NBR!$C:$F,4,0),J47*1.2)))/(M47*N47*O47),0),"0")&amp;" luminaria(s)"),"OK")))</f>
        <v>#VALUE!</v>
      </c>
      <c r="V47" s="52" t="e">
        <f t="shared" si="0"/>
        <v>#VALUE!</v>
      </c>
      <c r="W47" s="60"/>
      <c r="X47" s="60"/>
      <c r="Y47" s="60"/>
      <c r="AA47" s="61"/>
      <c r="AB47" s="34"/>
      <c r="AC47" s="34"/>
      <c r="AD47" s="34"/>
    </row>
    <row r="48" spans="1:30" ht="18" customHeight="1" x14ac:dyDescent="0.25">
      <c r="A48" s="86"/>
      <c r="B48" s="86"/>
      <c r="C48" s="83"/>
      <c r="D48" s="17"/>
      <c r="E48" s="43"/>
      <c r="F48" s="43"/>
      <c r="G48" s="27"/>
      <c r="H48" s="27"/>
      <c r="I48" s="27"/>
      <c r="J48" s="44" t="str">
        <f>IFERROR(VLOOKUP(D48,NBR!$C:$E,3,0),"")</f>
        <v/>
      </c>
      <c r="K48" s="43" t="str">
        <f t="shared" si="4"/>
        <v/>
      </c>
      <c r="L48" s="45"/>
      <c r="M48" s="46" t="str">
        <f>IFERROR(VLOOKUP(L48,LAMPADAS!$A:$B,2,0),"")</f>
        <v/>
      </c>
      <c r="N48" s="27"/>
      <c r="O48" s="27"/>
      <c r="P48" s="45" t="str">
        <f t="shared" si="1"/>
        <v/>
      </c>
      <c r="Q48" s="29"/>
      <c r="R48" s="47" t="str">
        <f>IFERROR(VLOOKUP(L48,#REF!,4,0),"")</f>
        <v/>
      </c>
      <c r="S48" s="48" t="str">
        <f t="shared" si="2"/>
        <v/>
      </c>
      <c r="T48" s="49" t="e">
        <f t="shared" si="3"/>
        <v>#VALUE!</v>
      </c>
      <c r="U48" s="17" t="e">
        <f>IF(E48*J48*M48=0,"",IF((Q48*M48*N48*O48)/E48&lt;IF(IFERROR(VLOOKUP(D48,NBR!$C:$D,2,0),J48)=IFERROR(VLOOKUP(D48,NBR!$C:$F,4,0),J48),J48*0.9,IFERROR(VLOOKUP(D48,NBR!$C:$D,2,0),J48*0.9)),"COLOCAR +"&amp;TEXT(ROUNDUP((E48*J48)/(M48*N48*O48),0)-Q48,"0")&amp;" luminaria(s)",IF((Q48*M48*N48*O48)/E48&gt;IF(IFERROR(VLOOKUP(D48,NBR!$C:$F,4,0),J48)=IFERROR(VLOOKUP(D48,NBR!$C:$D,2,0),J48),J48*1.2,IFERROR(VLOOKUP(D48,NBR!$C:$F,4,0),J48*1.2)),IF(Q48=1,"Reduzir potencia luminaria","RETIRAR -"&amp;TEXT(Q48-ROUNDUP((E48*IF(IFERROR(VLOOKUP(D48,NBR!$C:$F,4,0),J48)=J48,J48*1.2,IFERROR(VLOOKUP(D48,NBR!$C:$F,4,0),J48*1.2)))/(M48*N48*O48),0),"0")&amp;" luminaria(s)"),"OK")))</f>
        <v>#VALUE!</v>
      </c>
      <c r="V48" s="48" t="e">
        <f t="shared" si="0"/>
        <v>#VALUE!</v>
      </c>
      <c r="W48" s="57"/>
      <c r="X48" s="55"/>
      <c r="Y48" s="56"/>
      <c r="AA48" s="34"/>
      <c r="AB48" s="34"/>
      <c r="AC48" s="34"/>
      <c r="AD48" s="34"/>
    </row>
    <row r="49" spans="1:30" ht="18" customHeight="1" x14ac:dyDescent="0.25">
      <c r="A49" s="85"/>
      <c r="B49" s="85"/>
      <c r="C49" s="58"/>
      <c r="D49" s="59"/>
      <c r="E49" s="50"/>
      <c r="F49" s="50"/>
      <c r="G49" s="51"/>
      <c r="H49" s="51"/>
      <c r="I49" s="51"/>
      <c r="J49" s="44" t="str">
        <f>IFERROR(VLOOKUP(D49,NBR!$C:$E,3,0),"")</f>
        <v/>
      </c>
      <c r="K49" s="50" t="str">
        <f t="shared" si="4"/>
        <v/>
      </c>
      <c r="L49" s="82"/>
      <c r="M49" s="46" t="str">
        <f>IFERROR(VLOOKUP(L49,LAMPADAS!$A:$B,2,0),"")</f>
        <v/>
      </c>
      <c r="N49" s="51"/>
      <c r="O49" s="51"/>
      <c r="P49" s="50" t="str">
        <f t="shared" si="1"/>
        <v/>
      </c>
      <c r="Q49" s="31"/>
      <c r="R49" s="47" t="str">
        <f>IFERROR(VLOOKUP(L49,#REF!,4,0),"")</f>
        <v/>
      </c>
      <c r="S49" s="53" t="str">
        <f t="shared" si="2"/>
        <v/>
      </c>
      <c r="T49" s="54" t="e">
        <f t="shared" si="3"/>
        <v>#VALUE!</v>
      </c>
      <c r="U49" s="22" t="e">
        <f>IF(E49*J49*M49=0,"",IF((Q49*M49*N49*O49)/E49&lt;IF(IFERROR(VLOOKUP(D49,NBR!$C:$D,2,0),J49)=IFERROR(VLOOKUP(D49,NBR!$C:$F,4,0),J49),J49*0.9,IFERROR(VLOOKUP(D49,NBR!$C:$D,2,0),J49*0.9)),"COLOCAR +"&amp;TEXT(ROUNDUP((E49*J49)/(M49*N49*O49),0)-Q49,"0")&amp;" luminaria(s)",IF((Q49*M49*N49*O49)/E49&gt;IF(IFERROR(VLOOKUP(D49,NBR!$C:$F,4,0),J49)=IFERROR(VLOOKUP(D49,NBR!$C:$D,2,0),J49),J49*1.2,IFERROR(VLOOKUP(D49,NBR!$C:$F,4,0),J49*1.2)),IF(Q49=1,"Reduzir potencia luminaria","RETIRAR -"&amp;TEXT(Q49-ROUNDUP((E49*IF(IFERROR(VLOOKUP(D49,NBR!$C:$F,4,0),J49)=J49,J49*1.2,IFERROR(VLOOKUP(D49,NBR!$C:$F,4,0),J49*1.2)))/(M49*N49*O49),0),"0")&amp;" luminaria(s)"),"OK")))</f>
        <v>#VALUE!</v>
      </c>
      <c r="V49" s="52" t="e">
        <f t="shared" si="0"/>
        <v>#VALUE!</v>
      </c>
      <c r="W49" s="60"/>
      <c r="X49" s="60"/>
      <c r="Y49" s="60"/>
      <c r="AA49" s="61"/>
      <c r="AB49" s="34"/>
      <c r="AC49" s="34"/>
      <c r="AD49" s="34"/>
    </row>
    <row r="50" spans="1:30" ht="18" customHeight="1" x14ac:dyDescent="0.25">
      <c r="A50" s="86"/>
      <c r="B50" s="86"/>
      <c r="C50" s="83"/>
      <c r="D50" s="17"/>
      <c r="E50" s="43" t="str">
        <f t="shared" ref="E29:E92" si="5">IF(G50*H50=0,"",ROUND(G50*H50,2))</f>
        <v/>
      </c>
      <c r="F50" s="43"/>
      <c r="G50" s="27"/>
      <c r="H50" s="27"/>
      <c r="I50" s="27"/>
      <c r="J50" s="44" t="str">
        <f>IFERROR(VLOOKUP(D50,NBR!$C:$E,3,0),"")</f>
        <v/>
      </c>
      <c r="K50" s="43" t="e">
        <f t="shared" si="4"/>
        <v>#VALUE!</v>
      </c>
      <c r="L50" s="45"/>
      <c r="M50" s="46" t="str">
        <f>IFERROR(VLOOKUP(L50,LAMPADAS!$A:$B,2,0),"")</f>
        <v/>
      </c>
      <c r="N50" s="27"/>
      <c r="O50" s="27"/>
      <c r="P50" s="45" t="str">
        <f t="shared" si="1"/>
        <v/>
      </c>
      <c r="Q50" s="29"/>
      <c r="R50" s="47" t="str">
        <f>IFERROR(VLOOKUP(L50,#REF!,4,0),"")</f>
        <v/>
      </c>
      <c r="S50" s="48" t="str">
        <f t="shared" si="2"/>
        <v/>
      </c>
      <c r="T50" s="49" t="e">
        <f t="shared" si="3"/>
        <v>#VALUE!</v>
      </c>
      <c r="U50" s="17" t="e">
        <f>IF(E50*J50*M50=0,"",IF((Q50*M50*N50*O50)/E50&lt;IF(IFERROR(VLOOKUP(D50,NBR!$C:$D,2,0),J50)=IFERROR(VLOOKUP(D50,NBR!$C:$F,4,0),J50),J50*0.9,IFERROR(VLOOKUP(D50,NBR!$C:$D,2,0),J50*0.9)),"COLOCAR +"&amp;TEXT(ROUNDUP((E50*J50)/(M50*N50*O50),0)-Q50,"0")&amp;" luminaria(s)",IF((Q50*M50*N50*O50)/E50&gt;IF(IFERROR(VLOOKUP(D50,NBR!$C:$F,4,0),J50)=IFERROR(VLOOKUP(D50,NBR!$C:$D,2,0),J50),J50*1.2,IFERROR(VLOOKUP(D50,NBR!$C:$F,4,0),J50*1.2)),IF(Q50=1,"Reduzir potencia luminaria","RETIRAR -"&amp;TEXT(Q50-ROUNDUP((E50*IF(IFERROR(VLOOKUP(D50,NBR!$C:$F,4,0),J50)=J50,J50*1.2,IFERROR(VLOOKUP(D50,NBR!$C:$F,4,0),J50*1.2)))/(M50*N50*O50),0),"0")&amp;" luminaria(s)"),"OK")))</f>
        <v>#VALUE!</v>
      </c>
      <c r="V50" s="48" t="e">
        <f t="shared" si="0"/>
        <v>#VALUE!</v>
      </c>
      <c r="W50" s="57"/>
      <c r="X50" s="55"/>
      <c r="Y50" s="56"/>
      <c r="AA50" s="34"/>
      <c r="AB50" s="34"/>
      <c r="AC50" s="34"/>
      <c r="AD50" s="34"/>
    </row>
    <row r="51" spans="1:30" ht="18" customHeight="1" x14ac:dyDescent="0.25">
      <c r="A51" s="85"/>
      <c r="B51" s="85"/>
      <c r="C51" s="58"/>
      <c r="D51" s="59"/>
      <c r="E51" s="50" t="str">
        <f t="shared" si="5"/>
        <v/>
      </c>
      <c r="F51" s="50"/>
      <c r="G51" s="51"/>
      <c r="H51" s="51"/>
      <c r="I51" s="51"/>
      <c r="J51" s="44" t="str">
        <f>IFERROR(VLOOKUP(D51,NBR!$C:$E,3,0),"")</f>
        <v/>
      </c>
      <c r="K51" s="50" t="e">
        <f t="shared" si="4"/>
        <v>#VALUE!</v>
      </c>
      <c r="L51" s="82"/>
      <c r="M51" s="46" t="str">
        <f>IFERROR(VLOOKUP(L51,LAMPADAS!$A:$B,2,0),"")</f>
        <v/>
      </c>
      <c r="N51" s="51"/>
      <c r="O51" s="51"/>
      <c r="P51" s="50" t="str">
        <f t="shared" si="1"/>
        <v/>
      </c>
      <c r="Q51" s="31"/>
      <c r="R51" s="47" t="str">
        <f>IFERROR(VLOOKUP(L51,#REF!,4,0),"")</f>
        <v/>
      </c>
      <c r="S51" s="53" t="str">
        <f t="shared" si="2"/>
        <v/>
      </c>
      <c r="T51" s="54" t="e">
        <f t="shared" si="3"/>
        <v>#VALUE!</v>
      </c>
      <c r="U51" s="22" t="e">
        <f>IF(E51*J51*M51=0,"",IF((Q51*M51*N51*O51)/E51&lt;IF(IFERROR(VLOOKUP(D51,NBR!$C:$D,2,0),J51)=IFERROR(VLOOKUP(D51,NBR!$C:$F,4,0),J51),J51*0.9,IFERROR(VLOOKUP(D51,NBR!$C:$D,2,0),J51*0.9)),"COLOCAR +"&amp;TEXT(ROUNDUP((E51*J51)/(M51*N51*O51),0)-Q51,"0")&amp;" luminaria(s)",IF((Q51*M51*N51*O51)/E51&gt;IF(IFERROR(VLOOKUP(D51,NBR!$C:$F,4,0),J51)=IFERROR(VLOOKUP(D51,NBR!$C:$D,2,0),J51),J51*1.2,IFERROR(VLOOKUP(D51,NBR!$C:$F,4,0),J51*1.2)),IF(Q51=1,"Reduzir potencia luminaria","RETIRAR -"&amp;TEXT(Q51-ROUNDUP((E51*IF(IFERROR(VLOOKUP(D51,NBR!$C:$F,4,0),J51)=J51,J51*1.2,IFERROR(VLOOKUP(D51,NBR!$C:$F,4,0),J51*1.2)))/(M51*N51*O51),0),"0")&amp;" luminaria(s)"),"OK")))</f>
        <v>#VALUE!</v>
      </c>
      <c r="V51" s="52" t="e">
        <f t="shared" si="0"/>
        <v>#VALUE!</v>
      </c>
      <c r="W51" s="60"/>
      <c r="X51" s="60"/>
      <c r="Y51" s="60"/>
      <c r="AA51" s="61"/>
      <c r="AB51" s="34"/>
      <c r="AC51" s="34"/>
      <c r="AD51" s="34"/>
    </row>
    <row r="52" spans="1:30" ht="18" customHeight="1" x14ac:dyDescent="0.25">
      <c r="A52" s="86"/>
      <c r="B52" s="86"/>
      <c r="C52" s="83"/>
      <c r="D52" s="17"/>
      <c r="E52" s="43" t="str">
        <f t="shared" si="5"/>
        <v/>
      </c>
      <c r="F52" s="43"/>
      <c r="G52" s="27"/>
      <c r="H52" s="27"/>
      <c r="I52" s="27"/>
      <c r="J52" s="44" t="str">
        <f>IFERROR(VLOOKUP(D52,NBR!$C:$E,3,0),"")</f>
        <v/>
      </c>
      <c r="K52" s="43" t="e">
        <f t="shared" si="4"/>
        <v>#VALUE!</v>
      </c>
      <c r="L52" s="45"/>
      <c r="M52" s="46" t="str">
        <f>IFERROR(VLOOKUP(L52,LAMPADAS!$A:$B,2,0),"")</f>
        <v/>
      </c>
      <c r="N52" s="27"/>
      <c r="O52" s="27"/>
      <c r="P52" s="45" t="str">
        <f t="shared" si="1"/>
        <v/>
      </c>
      <c r="Q52" s="29"/>
      <c r="R52" s="47" t="str">
        <f>IFERROR(VLOOKUP(L52,#REF!,4,0),"")</f>
        <v/>
      </c>
      <c r="S52" s="48" t="str">
        <f t="shared" si="2"/>
        <v/>
      </c>
      <c r="T52" s="49" t="e">
        <f t="shared" si="3"/>
        <v>#VALUE!</v>
      </c>
      <c r="U52" s="17" t="e">
        <f>IF(E52*J52*M52=0,"",IF((Q52*M52*N52*O52)/E52&lt;IF(IFERROR(VLOOKUP(D52,NBR!$C:$D,2,0),J52)=IFERROR(VLOOKUP(D52,NBR!$C:$F,4,0),J52),J52*0.9,IFERROR(VLOOKUP(D52,NBR!$C:$D,2,0),J52*0.9)),"COLOCAR +"&amp;TEXT(ROUNDUP((E52*J52)/(M52*N52*O52),0)-Q52,"0")&amp;" luminaria(s)",IF((Q52*M52*N52*O52)/E52&gt;IF(IFERROR(VLOOKUP(D52,NBR!$C:$F,4,0),J52)=IFERROR(VLOOKUP(D52,NBR!$C:$D,2,0),J52),J52*1.2,IFERROR(VLOOKUP(D52,NBR!$C:$F,4,0),J52*1.2)),IF(Q52=1,"Reduzir potencia luminaria","RETIRAR -"&amp;TEXT(Q52-ROUNDUP((E52*IF(IFERROR(VLOOKUP(D52,NBR!$C:$F,4,0),J52)=J52,J52*1.2,IFERROR(VLOOKUP(D52,NBR!$C:$F,4,0),J52*1.2)))/(M52*N52*O52),0),"0")&amp;" luminaria(s)"),"OK")))</f>
        <v>#VALUE!</v>
      </c>
      <c r="V52" s="48" t="e">
        <f t="shared" si="0"/>
        <v>#VALUE!</v>
      </c>
      <c r="W52" s="57"/>
      <c r="X52" s="55"/>
      <c r="Y52" s="56"/>
      <c r="AA52" s="34"/>
      <c r="AB52" s="34"/>
      <c r="AC52" s="34"/>
      <c r="AD52" s="34"/>
    </row>
    <row r="53" spans="1:30" ht="18" customHeight="1" x14ac:dyDescent="0.25">
      <c r="A53" s="85"/>
      <c r="B53" s="85"/>
      <c r="C53" s="58"/>
      <c r="D53" s="59"/>
      <c r="E53" s="50" t="str">
        <f t="shared" si="5"/>
        <v/>
      </c>
      <c r="F53" s="50"/>
      <c r="G53" s="51"/>
      <c r="H53" s="51"/>
      <c r="I53" s="51"/>
      <c r="J53" s="44" t="str">
        <f>IFERROR(VLOOKUP(D53,NBR!$C:$E,3,0),"")</f>
        <v/>
      </c>
      <c r="K53" s="50" t="e">
        <f t="shared" si="4"/>
        <v>#VALUE!</v>
      </c>
      <c r="L53" s="82"/>
      <c r="M53" s="46" t="str">
        <f>IFERROR(VLOOKUP(L53,LAMPADAS!$A:$B,2,0),"")</f>
        <v/>
      </c>
      <c r="N53" s="51"/>
      <c r="O53" s="51"/>
      <c r="P53" s="50" t="str">
        <f t="shared" si="1"/>
        <v/>
      </c>
      <c r="Q53" s="31"/>
      <c r="R53" s="47" t="str">
        <f>IFERROR(VLOOKUP(L53,#REF!,4,0),"")</f>
        <v/>
      </c>
      <c r="S53" s="53" t="str">
        <f t="shared" si="2"/>
        <v/>
      </c>
      <c r="T53" s="54" t="e">
        <f t="shared" si="3"/>
        <v>#VALUE!</v>
      </c>
      <c r="U53" s="22" t="e">
        <f>IF(E53*J53*M53=0,"",IF((Q53*M53*N53*O53)/E53&lt;IF(IFERROR(VLOOKUP(D53,NBR!$C:$D,2,0),J53)=IFERROR(VLOOKUP(D53,NBR!$C:$F,4,0),J53),J53*0.9,IFERROR(VLOOKUP(D53,NBR!$C:$D,2,0),J53*0.9)),"COLOCAR +"&amp;TEXT(ROUNDUP((E53*J53)/(M53*N53*O53),0)-Q53,"0")&amp;" luminaria(s)",IF((Q53*M53*N53*O53)/E53&gt;IF(IFERROR(VLOOKUP(D53,NBR!$C:$F,4,0),J53)=IFERROR(VLOOKUP(D53,NBR!$C:$D,2,0),J53),J53*1.2,IFERROR(VLOOKUP(D53,NBR!$C:$F,4,0),J53*1.2)),IF(Q53=1,"Reduzir potencia luminaria","RETIRAR -"&amp;TEXT(Q53-ROUNDUP((E53*IF(IFERROR(VLOOKUP(D53,NBR!$C:$F,4,0),J53)=J53,J53*1.2,IFERROR(VLOOKUP(D53,NBR!$C:$F,4,0),J53*1.2)))/(M53*N53*O53),0),"0")&amp;" luminaria(s)"),"OK")))</f>
        <v>#VALUE!</v>
      </c>
      <c r="V53" s="52" t="e">
        <f t="shared" si="0"/>
        <v>#VALUE!</v>
      </c>
      <c r="W53" s="60"/>
      <c r="X53" s="60"/>
      <c r="Y53" s="60"/>
      <c r="AA53" s="61"/>
      <c r="AB53" s="34"/>
      <c r="AC53" s="34"/>
      <c r="AD53" s="34"/>
    </row>
    <row r="54" spans="1:30" ht="18" customHeight="1" x14ac:dyDescent="0.25">
      <c r="A54" s="86"/>
      <c r="B54" s="86"/>
      <c r="C54" s="83"/>
      <c r="D54" s="17"/>
      <c r="E54" s="43" t="str">
        <f t="shared" si="5"/>
        <v/>
      </c>
      <c r="F54" s="43"/>
      <c r="G54" s="27"/>
      <c r="H54" s="27"/>
      <c r="I54" s="27"/>
      <c r="J54" s="44" t="str">
        <f>IFERROR(VLOOKUP(D54,NBR!$C:$E,3,0),"")</f>
        <v/>
      </c>
      <c r="K54" s="43" t="e">
        <f t="shared" si="4"/>
        <v>#VALUE!</v>
      </c>
      <c r="L54" s="45"/>
      <c r="M54" s="46" t="str">
        <f>IFERROR(VLOOKUP(L54,LAMPADAS!$A:$B,2,0),"")</f>
        <v/>
      </c>
      <c r="N54" s="27"/>
      <c r="O54" s="27"/>
      <c r="P54" s="45" t="str">
        <f t="shared" si="1"/>
        <v/>
      </c>
      <c r="Q54" s="29"/>
      <c r="R54" s="47" t="str">
        <f>IFERROR(VLOOKUP(L54,#REF!,4,0),"")</f>
        <v/>
      </c>
      <c r="S54" s="48" t="str">
        <f t="shared" si="2"/>
        <v/>
      </c>
      <c r="T54" s="49" t="e">
        <f t="shared" si="3"/>
        <v>#VALUE!</v>
      </c>
      <c r="U54" s="17" t="e">
        <f>IF(E54*J54*M54=0,"",IF((Q54*M54*N54*O54)/E54&lt;IF(IFERROR(VLOOKUP(D54,NBR!$C:$D,2,0),J54)=IFERROR(VLOOKUP(D54,NBR!$C:$F,4,0),J54),J54*0.9,IFERROR(VLOOKUP(D54,NBR!$C:$D,2,0),J54*0.9)),"COLOCAR +"&amp;TEXT(ROUNDUP((E54*J54)/(M54*N54*O54),0)-Q54,"0")&amp;" luminaria(s)",IF((Q54*M54*N54*O54)/E54&gt;IF(IFERROR(VLOOKUP(D54,NBR!$C:$F,4,0),J54)=IFERROR(VLOOKUP(D54,NBR!$C:$D,2,0),J54),J54*1.2,IFERROR(VLOOKUP(D54,NBR!$C:$F,4,0),J54*1.2)),IF(Q54=1,"Reduzir potencia luminaria","RETIRAR -"&amp;TEXT(Q54-ROUNDUP((E54*IF(IFERROR(VLOOKUP(D54,NBR!$C:$F,4,0),J54)=J54,J54*1.2,IFERROR(VLOOKUP(D54,NBR!$C:$F,4,0),J54*1.2)))/(M54*N54*O54),0),"0")&amp;" luminaria(s)"),"OK")))</f>
        <v>#VALUE!</v>
      </c>
      <c r="V54" s="48" t="e">
        <f t="shared" si="0"/>
        <v>#VALUE!</v>
      </c>
      <c r="W54" s="57"/>
      <c r="X54" s="55"/>
      <c r="Y54" s="56"/>
      <c r="AA54" s="34"/>
      <c r="AB54" s="34"/>
      <c r="AC54" s="34"/>
      <c r="AD54" s="34"/>
    </row>
    <row r="55" spans="1:30" ht="18" customHeight="1" x14ac:dyDescent="0.25">
      <c r="A55" s="85"/>
      <c r="B55" s="85"/>
      <c r="C55" s="58"/>
      <c r="D55" s="59"/>
      <c r="E55" s="50" t="str">
        <f t="shared" si="5"/>
        <v/>
      </c>
      <c r="F55" s="50"/>
      <c r="G55" s="51"/>
      <c r="H55" s="51"/>
      <c r="I55" s="51"/>
      <c r="J55" s="44" t="str">
        <f>IFERROR(VLOOKUP(D55,NBR!$C:$E,3,0),"")</f>
        <v/>
      </c>
      <c r="K55" s="50" t="e">
        <f t="shared" si="4"/>
        <v>#VALUE!</v>
      </c>
      <c r="L55" s="82"/>
      <c r="M55" s="46" t="str">
        <f>IFERROR(VLOOKUP(L55,LAMPADAS!$A:$B,2,0),"")</f>
        <v/>
      </c>
      <c r="N55" s="51"/>
      <c r="O55" s="51"/>
      <c r="P55" s="50" t="str">
        <f t="shared" si="1"/>
        <v/>
      </c>
      <c r="Q55" s="31"/>
      <c r="R55" s="47" t="str">
        <f>IFERROR(VLOOKUP(L55,#REF!,4,0),"")</f>
        <v/>
      </c>
      <c r="S55" s="53" t="str">
        <f t="shared" si="2"/>
        <v/>
      </c>
      <c r="T55" s="54" t="e">
        <f t="shared" si="3"/>
        <v>#VALUE!</v>
      </c>
      <c r="U55" s="22" t="e">
        <f>IF(E55*J55*M55=0,"",IF((Q55*M55*N55*O55)/E55&lt;IF(IFERROR(VLOOKUP(D55,NBR!$C:$D,2,0),J55)=IFERROR(VLOOKUP(D55,NBR!$C:$F,4,0),J55),J55*0.9,IFERROR(VLOOKUP(D55,NBR!$C:$D,2,0),J55*0.9)),"COLOCAR +"&amp;TEXT(ROUNDUP((E55*J55)/(M55*N55*O55),0)-Q55,"0")&amp;" luminaria(s)",IF((Q55*M55*N55*O55)/E55&gt;IF(IFERROR(VLOOKUP(D55,NBR!$C:$F,4,0),J55)=IFERROR(VLOOKUP(D55,NBR!$C:$D,2,0),J55),J55*1.2,IFERROR(VLOOKUP(D55,NBR!$C:$F,4,0),J55*1.2)),IF(Q55=1,"Reduzir potencia luminaria","RETIRAR -"&amp;TEXT(Q55-ROUNDUP((E55*IF(IFERROR(VLOOKUP(D55,NBR!$C:$F,4,0),J55)=J55,J55*1.2,IFERROR(VLOOKUP(D55,NBR!$C:$F,4,0),J55*1.2)))/(M55*N55*O55),0),"0")&amp;" luminaria(s)"),"OK")))</f>
        <v>#VALUE!</v>
      </c>
      <c r="V55" s="52" t="e">
        <f t="shared" si="0"/>
        <v>#VALUE!</v>
      </c>
      <c r="W55" s="60"/>
      <c r="X55" s="60"/>
      <c r="Y55" s="60"/>
      <c r="AA55" s="61"/>
      <c r="AB55" s="34"/>
      <c r="AC55" s="34"/>
      <c r="AD55" s="34"/>
    </row>
    <row r="56" spans="1:30" ht="18" customHeight="1" x14ac:dyDescent="0.25">
      <c r="A56" s="86"/>
      <c r="B56" s="86"/>
      <c r="C56" s="83"/>
      <c r="D56" s="17"/>
      <c r="E56" s="43" t="str">
        <f t="shared" si="5"/>
        <v/>
      </c>
      <c r="F56" s="43"/>
      <c r="G56" s="27"/>
      <c r="H56" s="27"/>
      <c r="I56" s="27"/>
      <c r="J56" s="44" t="str">
        <f>IFERROR(VLOOKUP(D56,NBR!$C:$E,3,0),"")</f>
        <v/>
      </c>
      <c r="K56" s="43" t="e">
        <f t="shared" si="4"/>
        <v>#VALUE!</v>
      </c>
      <c r="L56" s="45"/>
      <c r="M56" s="46" t="str">
        <f>IFERROR(VLOOKUP(L56,LAMPADAS!$A:$B,2,0),"")</f>
        <v/>
      </c>
      <c r="N56" s="27"/>
      <c r="O56" s="27"/>
      <c r="P56" s="45" t="str">
        <f t="shared" si="1"/>
        <v/>
      </c>
      <c r="Q56" s="29"/>
      <c r="R56" s="47" t="str">
        <f>IFERROR(VLOOKUP(L56,#REF!,4,0),"")</f>
        <v/>
      </c>
      <c r="S56" s="48" t="str">
        <f t="shared" si="2"/>
        <v/>
      </c>
      <c r="T56" s="49" t="e">
        <f t="shared" si="3"/>
        <v>#VALUE!</v>
      </c>
      <c r="U56" s="17" t="e">
        <f>IF(E56*J56*M56=0,"",IF((Q56*M56*N56*O56)/E56&lt;IF(IFERROR(VLOOKUP(D56,NBR!$C:$D,2,0),J56)=IFERROR(VLOOKUP(D56,NBR!$C:$F,4,0),J56),J56*0.9,IFERROR(VLOOKUP(D56,NBR!$C:$D,2,0),J56*0.9)),"COLOCAR +"&amp;TEXT(ROUNDUP((E56*J56)/(M56*N56*O56),0)-Q56,"0")&amp;" luminaria(s)",IF((Q56*M56*N56*O56)/E56&gt;IF(IFERROR(VLOOKUP(D56,NBR!$C:$F,4,0),J56)=IFERROR(VLOOKUP(D56,NBR!$C:$D,2,0),J56),J56*1.2,IFERROR(VLOOKUP(D56,NBR!$C:$F,4,0),J56*1.2)),IF(Q56=1,"Reduzir potencia luminaria","RETIRAR -"&amp;TEXT(Q56-ROUNDUP((E56*IF(IFERROR(VLOOKUP(D56,NBR!$C:$F,4,0),J56)=J56,J56*1.2,IFERROR(VLOOKUP(D56,NBR!$C:$F,4,0),J56*1.2)))/(M56*N56*O56),0),"0")&amp;" luminaria(s)"),"OK")))</f>
        <v>#VALUE!</v>
      </c>
      <c r="V56" s="48" t="e">
        <f t="shared" si="0"/>
        <v>#VALUE!</v>
      </c>
      <c r="W56" s="57"/>
      <c r="X56" s="55"/>
      <c r="Y56" s="56"/>
      <c r="AA56" s="34"/>
      <c r="AB56" s="34"/>
      <c r="AC56" s="34"/>
      <c r="AD56" s="34"/>
    </row>
    <row r="57" spans="1:30" ht="18" customHeight="1" x14ac:dyDescent="0.25">
      <c r="A57" s="85"/>
      <c r="B57" s="85"/>
      <c r="C57" s="58"/>
      <c r="D57" s="59"/>
      <c r="E57" s="50" t="str">
        <f t="shared" si="5"/>
        <v/>
      </c>
      <c r="F57" s="50"/>
      <c r="G57" s="51"/>
      <c r="H57" s="51"/>
      <c r="I57" s="51"/>
      <c r="J57" s="44" t="str">
        <f>IFERROR(VLOOKUP(D57,NBR!$C:$E,3,0),"")</f>
        <v/>
      </c>
      <c r="K57" s="50" t="e">
        <f t="shared" si="4"/>
        <v>#VALUE!</v>
      </c>
      <c r="L57" s="82"/>
      <c r="M57" s="46" t="str">
        <f>IFERROR(VLOOKUP(L57,LAMPADAS!$A:$B,2,0),"")</f>
        <v/>
      </c>
      <c r="N57" s="51"/>
      <c r="O57" s="51"/>
      <c r="P57" s="50" t="str">
        <f t="shared" si="1"/>
        <v/>
      </c>
      <c r="Q57" s="31"/>
      <c r="R57" s="47" t="str">
        <f>IFERROR(VLOOKUP(L57,#REF!,4,0),"")</f>
        <v/>
      </c>
      <c r="S57" s="53" t="str">
        <f t="shared" si="2"/>
        <v/>
      </c>
      <c r="T57" s="54" t="e">
        <f t="shared" si="3"/>
        <v>#VALUE!</v>
      </c>
      <c r="U57" s="22" t="e">
        <f>IF(E57*J57*M57=0,"",IF((Q57*M57*N57*O57)/E57&lt;IF(IFERROR(VLOOKUP(D57,NBR!$C:$D,2,0),J57)=IFERROR(VLOOKUP(D57,NBR!$C:$F,4,0),J57),J57*0.9,IFERROR(VLOOKUP(D57,NBR!$C:$D,2,0),J57*0.9)),"COLOCAR +"&amp;TEXT(ROUNDUP((E57*J57)/(M57*N57*O57),0)-Q57,"0")&amp;" luminaria(s)",IF((Q57*M57*N57*O57)/E57&gt;IF(IFERROR(VLOOKUP(D57,NBR!$C:$F,4,0),J57)=IFERROR(VLOOKUP(D57,NBR!$C:$D,2,0),J57),J57*1.2,IFERROR(VLOOKUP(D57,NBR!$C:$F,4,0),J57*1.2)),IF(Q57=1,"Reduzir potencia luminaria","RETIRAR -"&amp;TEXT(Q57-ROUNDUP((E57*IF(IFERROR(VLOOKUP(D57,NBR!$C:$F,4,0),J57)=J57,J57*1.2,IFERROR(VLOOKUP(D57,NBR!$C:$F,4,0),J57*1.2)))/(M57*N57*O57),0),"0")&amp;" luminaria(s)"),"OK")))</f>
        <v>#VALUE!</v>
      </c>
      <c r="V57" s="52" t="e">
        <f t="shared" si="0"/>
        <v>#VALUE!</v>
      </c>
      <c r="W57" s="60"/>
      <c r="X57" s="60"/>
      <c r="Y57" s="60"/>
      <c r="AA57" s="61"/>
      <c r="AB57" s="34"/>
      <c r="AC57" s="34"/>
      <c r="AD57" s="34"/>
    </row>
    <row r="58" spans="1:30" ht="18" customHeight="1" x14ac:dyDescent="0.25">
      <c r="A58" s="86"/>
      <c r="B58" s="86"/>
      <c r="C58" s="83"/>
      <c r="D58" s="17"/>
      <c r="E58" s="43" t="str">
        <f t="shared" si="5"/>
        <v/>
      </c>
      <c r="F58" s="43"/>
      <c r="G58" s="27"/>
      <c r="H58" s="27"/>
      <c r="I58" s="27"/>
      <c r="J58" s="44" t="str">
        <f>IFERROR(VLOOKUP(D58,NBR!$C:$E,3,0),"")</f>
        <v/>
      </c>
      <c r="K58" s="43" t="e">
        <f t="shared" si="4"/>
        <v>#VALUE!</v>
      </c>
      <c r="L58" s="45"/>
      <c r="M58" s="46" t="str">
        <f>IFERROR(VLOOKUP(L58,LAMPADAS!$A:$B,2,0),"")</f>
        <v/>
      </c>
      <c r="N58" s="27"/>
      <c r="O58" s="27"/>
      <c r="P58" s="45" t="str">
        <f t="shared" si="1"/>
        <v/>
      </c>
      <c r="Q58" s="29"/>
      <c r="R58" s="47" t="str">
        <f>IFERROR(VLOOKUP(L58,#REF!,4,0),"")</f>
        <v/>
      </c>
      <c r="S58" s="48" t="str">
        <f t="shared" si="2"/>
        <v/>
      </c>
      <c r="T58" s="49" t="e">
        <f t="shared" si="3"/>
        <v>#VALUE!</v>
      </c>
      <c r="U58" s="17" t="e">
        <f>IF(E58*J58*M58=0,"",IF((Q58*M58*N58*O58)/E58&lt;IF(IFERROR(VLOOKUP(D58,NBR!$C:$D,2,0),J58)=IFERROR(VLOOKUP(D58,NBR!$C:$F,4,0),J58),J58*0.9,IFERROR(VLOOKUP(D58,NBR!$C:$D,2,0),J58*0.9)),"COLOCAR +"&amp;TEXT(ROUNDUP((E58*J58)/(M58*N58*O58),0)-Q58,"0")&amp;" luminaria(s)",IF((Q58*M58*N58*O58)/E58&gt;IF(IFERROR(VLOOKUP(D58,NBR!$C:$F,4,0),J58)=IFERROR(VLOOKUP(D58,NBR!$C:$D,2,0),J58),J58*1.2,IFERROR(VLOOKUP(D58,NBR!$C:$F,4,0),J58*1.2)),IF(Q58=1,"Reduzir potencia luminaria","RETIRAR -"&amp;TEXT(Q58-ROUNDUP((E58*IF(IFERROR(VLOOKUP(D58,NBR!$C:$F,4,0),J58)=J58,J58*1.2,IFERROR(VLOOKUP(D58,NBR!$C:$F,4,0),J58*1.2)))/(M58*N58*O58),0),"0")&amp;" luminaria(s)"),"OK")))</f>
        <v>#VALUE!</v>
      </c>
      <c r="V58" s="48" t="e">
        <f t="shared" si="0"/>
        <v>#VALUE!</v>
      </c>
      <c r="W58" s="57"/>
      <c r="X58" s="55"/>
      <c r="Y58" s="56"/>
      <c r="AA58" s="34"/>
      <c r="AB58" s="34"/>
      <c r="AC58" s="34"/>
      <c r="AD58" s="34"/>
    </row>
    <row r="59" spans="1:30" ht="18" customHeight="1" x14ac:dyDescent="0.25">
      <c r="A59" s="85"/>
      <c r="B59" s="85"/>
      <c r="C59" s="58"/>
      <c r="D59" s="59"/>
      <c r="E59" s="50" t="str">
        <f t="shared" si="5"/>
        <v/>
      </c>
      <c r="F59" s="50"/>
      <c r="G59" s="51"/>
      <c r="H59" s="51"/>
      <c r="I59" s="51"/>
      <c r="J59" s="44" t="str">
        <f>IFERROR(VLOOKUP(D59,NBR!$C:$E,3,0),"")</f>
        <v/>
      </c>
      <c r="K59" s="50" t="e">
        <f t="shared" si="4"/>
        <v>#VALUE!</v>
      </c>
      <c r="L59" s="82"/>
      <c r="M59" s="46" t="str">
        <f>IFERROR(VLOOKUP(L59,LAMPADAS!$A:$B,2,0),"")</f>
        <v/>
      </c>
      <c r="N59" s="51"/>
      <c r="O59" s="51"/>
      <c r="P59" s="50" t="str">
        <f t="shared" si="1"/>
        <v/>
      </c>
      <c r="Q59" s="31"/>
      <c r="R59" s="47" t="str">
        <f>IFERROR(VLOOKUP(L59,#REF!,4,0),"")</f>
        <v/>
      </c>
      <c r="S59" s="53" t="str">
        <f t="shared" si="2"/>
        <v/>
      </c>
      <c r="T59" s="54" t="e">
        <f t="shared" si="3"/>
        <v>#VALUE!</v>
      </c>
      <c r="U59" s="22" t="e">
        <f>IF(E59*J59*M59=0,"",IF((Q59*M59*N59*O59)/E59&lt;IF(IFERROR(VLOOKUP(D59,NBR!$C:$D,2,0),J59)=IFERROR(VLOOKUP(D59,NBR!$C:$F,4,0),J59),J59*0.9,IFERROR(VLOOKUP(D59,NBR!$C:$D,2,0),J59*0.9)),"COLOCAR +"&amp;TEXT(ROUNDUP((E59*J59)/(M59*N59*O59),0)-Q59,"0")&amp;" luminaria(s)",IF((Q59*M59*N59*O59)/E59&gt;IF(IFERROR(VLOOKUP(D59,NBR!$C:$F,4,0),J59)=IFERROR(VLOOKUP(D59,NBR!$C:$D,2,0),J59),J59*1.2,IFERROR(VLOOKUP(D59,NBR!$C:$F,4,0),J59*1.2)),IF(Q59=1,"Reduzir potencia luminaria","RETIRAR -"&amp;TEXT(Q59-ROUNDUP((E59*IF(IFERROR(VLOOKUP(D59,NBR!$C:$F,4,0),J59)=J59,J59*1.2,IFERROR(VLOOKUP(D59,NBR!$C:$F,4,0),J59*1.2)))/(M59*N59*O59),0),"0")&amp;" luminaria(s)"),"OK")))</f>
        <v>#VALUE!</v>
      </c>
      <c r="V59" s="52" t="e">
        <f t="shared" si="0"/>
        <v>#VALUE!</v>
      </c>
      <c r="W59" s="60"/>
      <c r="X59" s="60"/>
      <c r="Y59" s="60"/>
      <c r="AA59" s="61"/>
      <c r="AB59" s="34"/>
      <c r="AC59" s="34"/>
      <c r="AD59" s="34"/>
    </row>
    <row r="60" spans="1:30" ht="18" customHeight="1" x14ac:dyDescent="0.25">
      <c r="A60" s="86"/>
      <c r="B60" s="86"/>
      <c r="C60" s="83"/>
      <c r="D60" s="17"/>
      <c r="E60" s="43" t="str">
        <f t="shared" si="5"/>
        <v/>
      </c>
      <c r="F60" s="43"/>
      <c r="G60" s="27"/>
      <c r="H60" s="27"/>
      <c r="I60" s="27"/>
      <c r="J60" s="44" t="str">
        <f>IFERROR(VLOOKUP(D60,NBR!$C:$E,3,0),"")</f>
        <v/>
      </c>
      <c r="K60" s="43" t="e">
        <f t="shared" si="4"/>
        <v>#VALUE!</v>
      </c>
      <c r="L60" s="45"/>
      <c r="M60" s="46" t="str">
        <f>IFERROR(VLOOKUP(L60,LAMPADAS!$A:$B,2,0),"")</f>
        <v/>
      </c>
      <c r="N60" s="27"/>
      <c r="O60" s="27"/>
      <c r="P60" s="45" t="str">
        <f t="shared" si="1"/>
        <v/>
      </c>
      <c r="Q60" s="29"/>
      <c r="R60" s="47" t="str">
        <f>IFERROR(VLOOKUP(L60,#REF!,4,0),"")</f>
        <v/>
      </c>
      <c r="S60" s="48" t="str">
        <f t="shared" si="2"/>
        <v/>
      </c>
      <c r="T60" s="49" t="e">
        <f t="shared" si="3"/>
        <v>#VALUE!</v>
      </c>
      <c r="U60" s="17" t="e">
        <f>IF(E60*J60*M60=0,"",IF((Q60*M60*N60*O60)/E60&lt;IF(IFERROR(VLOOKUP(D60,NBR!$C:$D,2,0),J60)=IFERROR(VLOOKUP(D60,NBR!$C:$F,4,0),J60),J60*0.9,IFERROR(VLOOKUP(D60,NBR!$C:$D,2,0),J60*0.9)),"COLOCAR +"&amp;TEXT(ROUNDUP((E60*J60)/(M60*N60*O60),0)-Q60,"0")&amp;" luminaria(s)",IF((Q60*M60*N60*O60)/E60&gt;IF(IFERROR(VLOOKUP(D60,NBR!$C:$F,4,0),J60)=IFERROR(VLOOKUP(D60,NBR!$C:$D,2,0),J60),J60*1.2,IFERROR(VLOOKUP(D60,NBR!$C:$F,4,0),J60*1.2)),IF(Q60=1,"Reduzir potencia luminaria","RETIRAR -"&amp;TEXT(Q60-ROUNDUP((E60*IF(IFERROR(VLOOKUP(D60,NBR!$C:$F,4,0),J60)=J60,J60*1.2,IFERROR(VLOOKUP(D60,NBR!$C:$F,4,0),J60*1.2)))/(M60*N60*O60),0),"0")&amp;" luminaria(s)"),"OK")))</f>
        <v>#VALUE!</v>
      </c>
      <c r="V60" s="48" t="e">
        <f t="shared" si="0"/>
        <v>#VALUE!</v>
      </c>
      <c r="W60" s="57"/>
      <c r="X60" s="55"/>
      <c r="Y60" s="56"/>
      <c r="AA60" s="34"/>
      <c r="AB60" s="34"/>
      <c r="AC60" s="34"/>
      <c r="AD60" s="34"/>
    </row>
    <row r="61" spans="1:30" ht="18" customHeight="1" x14ac:dyDescent="0.25">
      <c r="A61" s="85"/>
      <c r="B61" s="85"/>
      <c r="C61" s="58"/>
      <c r="D61" s="59"/>
      <c r="E61" s="50" t="str">
        <f t="shared" si="5"/>
        <v/>
      </c>
      <c r="F61" s="50"/>
      <c r="G61" s="51"/>
      <c r="H61" s="51"/>
      <c r="I61" s="51"/>
      <c r="J61" s="44" t="str">
        <f>IFERROR(VLOOKUP(D61,NBR!$C:$E,3,0),"")</f>
        <v/>
      </c>
      <c r="K61" s="50" t="e">
        <f t="shared" si="4"/>
        <v>#VALUE!</v>
      </c>
      <c r="L61" s="82"/>
      <c r="M61" s="46" t="str">
        <f>IFERROR(VLOOKUP(L61,LAMPADAS!$A:$B,2,0),"")</f>
        <v/>
      </c>
      <c r="N61" s="51"/>
      <c r="O61" s="51"/>
      <c r="P61" s="50" t="str">
        <f t="shared" si="1"/>
        <v/>
      </c>
      <c r="Q61" s="31"/>
      <c r="R61" s="47" t="str">
        <f>IFERROR(VLOOKUP(L61,#REF!,4,0),"")</f>
        <v/>
      </c>
      <c r="S61" s="53" t="str">
        <f t="shared" si="2"/>
        <v/>
      </c>
      <c r="T61" s="54" t="e">
        <f t="shared" si="3"/>
        <v>#VALUE!</v>
      </c>
      <c r="U61" s="22" t="e">
        <f>IF(E61*J61*M61=0,"",IF((Q61*M61*N61*O61)/E61&lt;IF(IFERROR(VLOOKUP(D61,NBR!$C:$D,2,0),J61)=IFERROR(VLOOKUP(D61,NBR!$C:$F,4,0),J61),J61*0.9,IFERROR(VLOOKUP(D61,NBR!$C:$D,2,0),J61*0.9)),"COLOCAR +"&amp;TEXT(ROUNDUP((E61*J61)/(M61*N61*O61),0)-Q61,"0")&amp;" luminaria(s)",IF((Q61*M61*N61*O61)/E61&gt;IF(IFERROR(VLOOKUP(D61,NBR!$C:$F,4,0),J61)=IFERROR(VLOOKUP(D61,NBR!$C:$D,2,0),J61),J61*1.2,IFERROR(VLOOKUP(D61,NBR!$C:$F,4,0),J61*1.2)),IF(Q61=1,"Reduzir potencia luminaria","RETIRAR -"&amp;TEXT(Q61-ROUNDUP((E61*IF(IFERROR(VLOOKUP(D61,NBR!$C:$F,4,0),J61)=J61,J61*1.2,IFERROR(VLOOKUP(D61,NBR!$C:$F,4,0),J61*1.2)))/(M61*N61*O61),0),"0")&amp;" luminaria(s)"),"OK")))</f>
        <v>#VALUE!</v>
      </c>
      <c r="V61" s="52" t="e">
        <f t="shared" si="0"/>
        <v>#VALUE!</v>
      </c>
      <c r="W61" s="60"/>
      <c r="X61" s="60"/>
      <c r="Y61" s="60"/>
      <c r="AA61" s="61"/>
      <c r="AB61" s="34"/>
      <c r="AC61" s="34"/>
      <c r="AD61" s="34"/>
    </row>
    <row r="62" spans="1:30" ht="18" customHeight="1" x14ac:dyDescent="0.25">
      <c r="A62" s="86"/>
      <c r="B62" s="86"/>
      <c r="C62" s="83"/>
      <c r="D62" s="17"/>
      <c r="E62" s="43" t="str">
        <f t="shared" si="5"/>
        <v/>
      </c>
      <c r="F62" s="43"/>
      <c r="G62" s="27"/>
      <c r="H62" s="27"/>
      <c r="I62" s="27"/>
      <c r="J62" s="44" t="str">
        <f>IFERROR(VLOOKUP(D62,NBR!$C:$E,3,0),"")</f>
        <v/>
      </c>
      <c r="K62" s="43" t="e">
        <f t="shared" si="4"/>
        <v>#VALUE!</v>
      </c>
      <c r="L62" s="45"/>
      <c r="M62" s="46" t="str">
        <f>IFERROR(VLOOKUP(L62,LAMPADAS!$A:$B,2,0),"")</f>
        <v/>
      </c>
      <c r="N62" s="27"/>
      <c r="O62" s="27"/>
      <c r="P62" s="45" t="str">
        <f t="shared" si="1"/>
        <v/>
      </c>
      <c r="Q62" s="29"/>
      <c r="R62" s="47" t="str">
        <f>IFERROR(VLOOKUP(L62,#REF!,4,0),"")</f>
        <v/>
      </c>
      <c r="S62" s="48" t="str">
        <f t="shared" si="2"/>
        <v/>
      </c>
      <c r="T62" s="49" t="e">
        <f t="shared" si="3"/>
        <v>#VALUE!</v>
      </c>
      <c r="U62" s="17" t="e">
        <f>IF(E62*J62*M62=0,"",IF((Q62*M62*N62*O62)/E62&lt;IF(IFERROR(VLOOKUP(D62,NBR!$C:$D,2,0),J62)=IFERROR(VLOOKUP(D62,NBR!$C:$F,4,0),J62),J62*0.9,IFERROR(VLOOKUP(D62,NBR!$C:$D,2,0),J62*0.9)),"COLOCAR +"&amp;TEXT(ROUNDUP((E62*J62)/(M62*N62*O62),0)-Q62,"0")&amp;" luminaria(s)",IF((Q62*M62*N62*O62)/E62&gt;IF(IFERROR(VLOOKUP(D62,NBR!$C:$F,4,0),J62)=IFERROR(VLOOKUP(D62,NBR!$C:$D,2,0),J62),J62*1.2,IFERROR(VLOOKUP(D62,NBR!$C:$F,4,0),J62*1.2)),IF(Q62=1,"Reduzir potencia luminaria","RETIRAR -"&amp;TEXT(Q62-ROUNDUP((E62*IF(IFERROR(VLOOKUP(D62,NBR!$C:$F,4,0),J62)=J62,J62*1.2,IFERROR(VLOOKUP(D62,NBR!$C:$F,4,0),J62*1.2)))/(M62*N62*O62),0),"0")&amp;" luminaria(s)"),"OK")))</f>
        <v>#VALUE!</v>
      </c>
      <c r="V62" s="48" t="e">
        <f t="shared" si="0"/>
        <v>#VALUE!</v>
      </c>
      <c r="W62" s="57"/>
      <c r="X62" s="55"/>
      <c r="Y62" s="56"/>
      <c r="AA62" s="34"/>
      <c r="AB62" s="34"/>
      <c r="AC62" s="34"/>
      <c r="AD62" s="34"/>
    </row>
    <row r="63" spans="1:30" ht="18" customHeight="1" x14ac:dyDescent="0.25">
      <c r="A63" s="85"/>
      <c r="B63" s="85"/>
      <c r="C63" s="58"/>
      <c r="D63" s="59"/>
      <c r="E63" s="50" t="str">
        <f t="shared" si="5"/>
        <v/>
      </c>
      <c r="F63" s="50"/>
      <c r="G63" s="51"/>
      <c r="H63" s="51"/>
      <c r="I63" s="51"/>
      <c r="J63" s="44" t="str">
        <f>IFERROR(VLOOKUP(D63,NBR!$C:$E,3,0),"")</f>
        <v/>
      </c>
      <c r="K63" s="50" t="e">
        <f t="shared" si="4"/>
        <v>#VALUE!</v>
      </c>
      <c r="L63" s="82"/>
      <c r="M63" s="46" t="str">
        <f>IFERROR(VLOOKUP(L63,LAMPADAS!$A:$B,2,0),"")</f>
        <v/>
      </c>
      <c r="N63" s="51"/>
      <c r="O63" s="51"/>
      <c r="P63" s="50" t="str">
        <f t="shared" si="1"/>
        <v/>
      </c>
      <c r="Q63" s="31"/>
      <c r="R63" s="47" t="str">
        <f>IFERROR(VLOOKUP(L63,#REF!,4,0),"")</f>
        <v/>
      </c>
      <c r="S63" s="53" t="str">
        <f t="shared" si="2"/>
        <v/>
      </c>
      <c r="T63" s="54" t="e">
        <f t="shared" si="3"/>
        <v>#VALUE!</v>
      </c>
      <c r="U63" s="22" t="e">
        <f>IF(E63*J63*M63=0,"",IF((Q63*M63*N63*O63)/E63&lt;IF(IFERROR(VLOOKUP(D63,NBR!$C:$D,2,0),J63)=IFERROR(VLOOKUP(D63,NBR!$C:$F,4,0),J63),J63*0.9,IFERROR(VLOOKUP(D63,NBR!$C:$D,2,0),J63*0.9)),"COLOCAR +"&amp;TEXT(ROUNDUP((E63*J63)/(M63*N63*O63),0)-Q63,"0")&amp;" luminaria(s)",IF((Q63*M63*N63*O63)/E63&gt;IF(IFERROR(VLOOKUP(D63,NBR!$C:$F,4,0),J63)=IFERROR(VLOOKUP(D63,NBR!$C:$D,2,0),J63),J63*1.2,IFERROR(VLOOKUP(D63,NBR!$C:$F,4,0),J63*1.2)),IF(Q63=1,"Reduzir potencia luminaria","RETIRAR -"&amp;TEXT(Q63-ROUNDUP((E63*IF(IFERROR(VLOOKUP(D63,NBR!$C:$F,4,0),J63)=J63,J63*1.2,IFERROR(VLOOKUP(D63,NBR!$C:$F,4,0),J63*1.2)))/(M63*N63*O63),0),"0")&amp;" luminaria(s)"),"OK")))</f>
        <v>#VALUE!</v>
      </c>
      <c r="V63" s="52" t="e">
        <f t="shared" si="0"/>
        <v>#VALUE!</v>
      </c>
      <c r="W63" s="60"/>
      <c r="X63" s="60"/>
      <c r="Y63" s="60"/>
      <c r="AA63" s="61"/>
      <c r="AB63" s="34"/>
      <c r="AC63" s="34"/>
      <c r="AD63" s="34"/>
    </row>
    <row r="64" spans="1:30" ht="18" customHeight="1" x14ac:dyDescent="0.25">
      <c r="A64" s="86"/>
      <c r="B64" s="86"/>
      <c r="C64" s="83"/>
      <c r="D64" s="17"/>
      <c r="E64" s="43" t="str">
        <f t="shared" si="5"/>
        <v/>
      </c>
      <c r="F64" s="43"/>
      <c r="G64" s="27"/>
      <c r="H64" s="27"/>
      <c r="I64" s="27"/>
      <c r="J64" s="44" t="str">
        <f>IFERROR(VLOOKUP(D64,NBR!$C:$E,3,0),"")</f>
        <v/>
      </c>
      <c r="K64" s="43" t="e">
        <f t="shared" si="4"/>
        <v>#VALUE!</v>
      </c>
      <c r="L64" s="45"/>
      <c r="M64" s="46" t="str">
        <f>IFERROR(VLOOKUP(L64,LAMPADAS!$A:$B,2,0),"")</f>
        <v/>
      </c>
      <c r="N64" s="27"/>
      <c r="O64" s="27"/>
      <c r="P64" s="45" t="str">
        <f t="shared" si="1"/>
        <v/>
      </c>
      <c r="Q64" s="29"/>
      <c r="R64" s="47" t="str">
        <f>IFERROR(VLOOKUP(L64,#REF!,4,0),"")</f>
        <v/>
      </c>
      <c r="S64" s="48" t="str">
        <f t="shared" si="2"/>
        <v/>
      </c>
      <c r="T64" s="49" t="e">
        <f t="shared" si="3"/>
        <v>#VALUE!</v>
      </c>
      <c r="U64" s="17" t="e">
        <f>IF(E64*J64*M64=0,"",IF((Q64*M64*N64*O64)/E64&lt;IF(IFERROR(VLOOKUP(D64,NBR!$C:$D,2,0),J64)=IFERROR(VLOOKUP(D64,NBR!$C:$F,4,0),J64),J64*0.9,IFERROR(VLOOKUP(D64,NBR!$C:$D,2,0),J64*0.9)),"COLOCAR +"&amp;TEXT(ROUNDUP((E64*J64)/(M64*N64*O64),0)-Q64,"0")&amp;" luminaria(s)",IF((Q64*M64*N64*O64)/E64&gt;IF(IFERROR(VLOOKUP(D64,NBR!$C:$F,4,0),J64)=IFERROR(VLOOKUP(D64,NBR!$C:$D,2,0),J64),J64*1.2,IFERROR(VLOOKUP(D64,NBR!$C:$F,4,0),J64*1.2)),IF(Q64=1,"Reduzir potencia luminaria","RETIRAR -"&amp;TEXT(Q64-ROUNDUP((E64*IF(IFERROR(VLOOKUP(D64,NBR!$C:$F,4,0),J64)=J64,J64*1.2,IFERROR(VLOOKUP(D64,NBR!$C:$F,4,0),J64*1.2)))/(M64*N64*O64),0),"0")&amp;" luminaria(s)"),"OK")))</f>
        <v>#VALUE!</v>
      </c>
      <c r="V64" s="48" t="e">
        <f t="shared" si="0"/>
        <v>#VALUE!</v>
      </c>
      <c r="W64" s="57"/>
      <c r="X64" s="55"/>
      <c r="Y64" s="56"/>
      <c r="AA64" s="34"/>
      <c r="AB64" s="34"/>
      <c r="AC64" s="34"/>
      <c r="AD64" s="34"/>
    </row>
    <row r="65" spans="1:30" ht="18" customHeight="1" x14ac:dyDescent="0.25">
      <c r="A65" s="85"/>
      <c r="B65" s="85"/>
      <c r="C65" s="58"/>
      <c r="D65" s="59"/>
      <c r="E65" s="50" t="str">
        <f t="shared" si="5"/>
        <v/>
      </c>
      <c r="F65" s="50"/>
      <c r="G65" s="51"/>
      <c r="H65" s="51"/>
      <c r="I65" s="51"/>
      <c r="J65" s="44" t="str">
        <f>IFERROR(VLOOKUP(D65,NBR!$C:$E,3,0),"")</f>
        <v/>
      </c>
      <c r="K65" s="50" t="e">
        <f t="shared" si="4"/>
        <v>#VALUE!</v>
      </c>
      <c r="L65" s="82"/>
      <c r="M65" s="46" t="str">
        <f>IFERROR(VLOOKUP(L65,LAMPADAS!$A:$B,2,0),"")</f>
        <v/>
      </c>
      <c r="N65" s="51"/>
      <c r="O65" s="51"/>
      <c r="P65" s="50" t="str">
        <f t="shared" si="1"/>
        <v/>
      </c>
      <c r="Q65" s="31"/>
      <c r="R65" s="47" t="str">
        <f>IFERROR(VLOOKUP(L65,#REF!,4,0),"")</f>
        <v/>
      </c>
      <c r="S65" s="53" t="str">
        <f t="shared" si="2"/>
        <v/>
      </c>
      <c r="T65" s="54" t="e">
        <f t="shared" si="3"/>
        <v>#VALUE!</v>
      </c>
      <c r="U65" s="22" t="e">
        <f>IF(E65*J65*M65=0,"",IF((Q65*M65*N65*O65)/E65&lt;IF(IFERROR(VLOOKUP(D65,NBR!$C:$D,2,0),J65)=IFERROR(VLOOKUP(D65,NBR!$C:$F,4,0),J65),J65*0.9,IFERROR(VLOOKUP(D65,NBR!$C:$D,2,0),J65*0.9)),"COLOCAR +"&amp;TEXT(ROUNDUP((E65*J65)/(M65*N65*O65),0)-Q65,"0")&amp;" luminaria(s)",IF((Q65*M65*N65*O65)/E65&gt;IF(IFERROR(VLOOKUP(D65,NBR!$C:$F,4,0),J65)=IFERROR(VLOOKUP(D65,NBR!$C:$D,2,0),J65),J65*1.2,IFERROR(VLOOKUP(D65,NBR!$C:$F,4,0),J65*1.2)),IF(Q65=1,"Reduzir potencia luminaria","RETIRAR -"&amp;TEXT(Q65-ROUNDUP((E65*IF(IFERROR(VLOOKUP(D65,NBR!$C:$F,4,0),J65)=J65,J65*1.2,IFERROR(VLOOKUP(D65,NBR!$C:$F,4,0),J65*1.2)))/(M65*N65*O65),0),"0")&amp;" luminaria(s)"),"OK")))</f>
        <v>#VALUE!</v>
      </c>
      <c r="V65" s="52" t="e">
        <f t="shared" si="0"/>
        <v>#VALUE!</v>
      </c>
      <c r="W65" s="60"/>
      <c r="X65" s="60"/>
      <c r="Y65" s="60"/>
      <c r="AA65" s="61"/>
      <c r="AB65" s="34"/>
      <c r="AC65" s="34"/>
      <c r="AD65" s="34"/>
    </row>
    <row r="66" spans="1:30" ht="18" customHeight="1" x14ac:dyDescent="0.25">
      <c r="A66" s="86"/>
      <c r="B66" s="86"/>
      <c r="C66" s="83"/>
      <c r="D66" s="17"/>
      <c r="E66" s="43" t="str">
        <f t="shared" si="5"/>
        <v/>
      </c>
      <c r="F66" s="43"/>
      <c r="G66" s="27"/>
      <c r="H66" s="27"/>
      <c r="I66" s="27"/>
      <c r="J66" s="44" t="str">
        <f>IFERROR(VLOOKUP(D66,NBR!$C:$E,3,0),"")</f>
        <v/>
      </c>
      <c r="K66" s="43" t="e">
        <f t="shared" si="4"/>
        <v>#VALUE!</v>
      </c>
      <c r="L66" s="45"/>
      <c r="M66" s="46" t="str">
        <f>IFERROR(VLOOKUP(L66,LAMPADAS!$A:$B,2,0),"")</f>
        <v/>
      </c>
      <c r="N66" s="27"/>
      <c r="O66" s="27"/>
      <c r="P66" s="45" t="str">
        <f t="shared" si="1"/>
        <v/>
      </c>
      <c r="Q66" s="29"/>
      <c r="R66" s="47" t="str">
        <f>IFERROR(VLOOKUP(L66,#REF!,4,0),"")</f>
        <v/>
      </c>
      <c r="S66" s="48" t="str">
        <f t="shared" si="2"/>
        <v/>
      </c>
      <c r="T66" s="49" t="e">
        <f t="shared" si="3"/>
        <v>#VALUE!</v>
      </c>
      <c r="U66" s="17" t="e">
        <f>IF(E66*J66*M66=0,"",IF((Q66*M66*N66*O66)/E66&lt;IF(IFERROR(VLOOKUP(D66,NBR!$C:$D,2,0),J66)=IFERROR(VLOOKUP(D66,NBR!$C:$F,4,0),J66),J66*0.9,IFERROR(VLOOKUP(D66,NBR!$C:$D,2,0),J66*0.9)),"COLOCAR +"&amp;TEXT(ROUNDUP((E66*J66)/(M66*N66*O66),0)-Q66,"0")&amp;" luminaria(s)",IF((Q66*M66*N66*O66)/E66&gt;IF(IFERROR(VLOOKUP(D66,NBR!$C:$F,4,0),J66)=IFERROR(VLOOKUP(D66,NBR!$C:$D,2,0),J66),J66*1.2,IFERROR(VLOOKUP(D66,NBR!$C:$F,4,0),J66*1.2)),IF(Q66=1,"Reduzir potencia luminaria","RETIRAR -"&amp;TEXT(Q66-ROUNDUP((E66*IF(IFERROR(VLOOKUP(D66,NBR!$C:$F,4,0),J66)=J66,J66*1.2,IFERROR(VLOOKUP(D66,NBR!$C:$F,4,0),J66*1.2)))/(M66*N66*O66),0),"0")&amp;" luminaria(s)"),"OK")))</f>
        <v>#VALUE!</v>
      </c>
      <c r="V66" s="48" t="e">
        <f t="shared" si="0"/>
        <v>#VALUE!</v>
      </c>
      <c r="W66" s="57"/>
      <c r="X66" s="55"/>
      <c r="Y66" s="56"/>
      <c r="AA66" s="34"/>
      <c r="AB66" s="34"/>
      <c r="AC66" s="34"/>
      <c r="AD66" s="34"/>
    </row>
    <row r="67" spans="1:30" ht="18" customHeight="1" x14ac:dyDescent="0.25">
      <c r="A67" s="85"/>
      <c r="B67" s="85"/>
      <c r="C67" s="58"/>
      <c r="D67" s="59"/>
      <c r="E67" s="50" t="str">
        <f t="shared" si="5"/>
        <v/>
      </c>
      <c r="F67" s="50"/>
      <c r="G67" s="51"/>
      <c r="H67" s="51"/>
      <c r="I67" s="51"/>
      <c r="J67" s="44" t="str">
        <f>IFERROR(VLOOKUP(D67,NBR!$C:$E,3,0),"")</f>
        <v/>
      </c>
      <c r="K67" s="50" t="e">
        <f t="shared" si="4"/>
        <v>#VALUE!</v>
      </c>
      <c r="L67" s="82"/>
      <c r="M67" s="46" t="str">
        <f>IFERROR(VLOOKUP(L67,LAMPADAS!$A:$B,2,0),"")</f>
        <v/>
      </c>
      <c r="N67" s="51"/>
      <c r="O67" s="51"/>
      <c r="P67" s="50" t="str">
        <f t="shared" si="1"/>
        <v/>
      </c>
      <c r="Q67" s="31"/>
      <c r="R67" s="47" t="str">
        <f>IFERROR(VLOOKUP(L67,#REF!,4,0),"")</f>
        <v/>
      </c>
      <c r="S67" s="53" t="str">
        <f t="shared" si="2"/>
        <v/>
      </c>
      <c r="T67" s="54" t="e">
        <f t="shared" si="3"/>
        <v>#VALUE!</v>
      </c>
      <c r="U67" s="22" t="e">
        <f>IF(E67*J67*M67=0,"",IF((Q67*M67*N67*O67)/E67&lt;IF(IFERROR(VLOOKUP(D67,NBR!$C:$D,2,0),J67)=IFERROR(VLOOKUP(D67,NBR!$C:$F,4,0),J67),J67*0.9,IFERROR(VLOOKUP(D67,NBR!$C:$D,2,0),J67*0.9)),"COLOCAR +"&amp;TEXT(ROUNDUP((E67*J67)/(M67*N67*O67),0)-Q67,"0")&amp;" luminaria(s)",IF((Q67*M67*N67*O67)/E67&gt;IF(IFERROR(VLOOKUP(D67,NBR!$C:$F,4,0),J67)=IFERROR(VLOOKUP(D67,NBR!$C:$D,2,0),J67),J67*1.2,IFERROR(VLOOKUP(D67,NBR!$C:$F,4,0),J67*1.2)),IF(Q67=1,"Reduzir potencia luminaria","RETIRAR -"&amp;TEXT(Q67-ROUNDUP((E67*IF(IFERROR(VLOOKUP(D67,NBR!$C:$F,4,0),J67)=J67,J67*1.2,IFERROR(VLOOKUP(D67,NBR!$C:$F,4,0),J67*1.2)))/(M67*N67*O67),0),"0")&amp;" luminaria(s)"),"OK")))</f>
        <v>#VALUE!</v>
      </c>
      <c r="V67" s="52" t="e">
        <f t="shared" si="0"/>
        <v>#VALUE!</v>
      </c>
      <c r="W67" s="60"/>
      <c r="X67" s="60"/>
      <c r="Y67" s="60"/>
      <c r="AA67" s="61"/>
      <c r="AB67" s="34"/>
      <c r="AC67" s="34"/>
      <c r="AD67" s="34"/>
    </row>
    <row r="68" spans="1:30" ht="18" customHeight="1" x14ac:dyDescent="0.25">
      <c r="A68" s="86"/>
      <c r="B68" s="86"/>
      <c r="C68" s="83"/>
      <c r="D68" s="17"/>
      <c r="E68" s="43" t="str">
        <f t="shared" si="5"/>
        <v/>
      </c>
      <c r="F68" s="43"/>
      <c r="G68" s="27"/>
      <c r="H68" s="27"/>
      <c r="I68" s="27"/>
      <c r="J68" s="44" t="str">
        <f>IFERROR(VLOOKUP(D68,NBR!$C:$E,3,0),"")</f>
        <v/>
      </c>
      <c r="K68" s="43" t="e">
        <f t="shared" si="4"/>
        <v>#VALUE!</v>
      </c>
      <c r="L68" s="45"/>
      <c r="M68" s="46" t="str">
        <f>IFERROR(VLOOKUP(L68,LAMPADAS!$A:$B,2,0),"")</f>
        <v/>
      </c>
      <c r="N68" s="27"/>
      <c r="O68" s="27"/>
      <c r="P68" s="45" t="str">
        <f t="shared" si="1"/>
        <v/>
      </c>
      <c r="Q68" s="29"/>
      <c r="R68" s="47" t="str">
        <f>IFERROR(VLOOKUP(L68,#REF!,4,0),"")</f>
        <v/>
      </c>
      <c r="S68" s="48" t="str">
        <f t="shared" si="2"/>
        <v/>
      </c>
      <c r="T68" s="49" t="e">
        <f t="shared" si="3"/>
        <v>#VALUE!</v>
      </c>
      <c r="U68" s="17" t="e">
        <f>IF(E68*J68*M68=0,"",IF((Q68*M68*N68*O68)/E68&lt;IF(IFERROR(VLOOKUP(D68,NBR!$C:$D,2,0),J68)=IFERROR(VLOOKUP(D68,NBR!$C:$F,4,0),J68),J68*0.9,IFERROR(VLOOKUP(D68,NBR!$C:$D,2,0),J68*0.9)),"COLOCAR +"&amp;TEXT(ROUNDUP((E68*J68)/(M68*N68*O68),0)-Q68,"0")&amp;" luminaria(s)",IF((Q68*M68*N68*O68)/E68&gt;IF(IFERROR(VLOOKUP(D68,NBR!$C:$F,4,0),J68)=IFERROR(VLOOKUP(D68,NBR!$C:$D,2,0),J68),J68*1.2,IFERROR(VLOOKUP(D68,NBR!$C:$F,4,0),J68*1.2)),IF(Q68=1,"Reduzir potencia luminaria","RETIRAR -"&amp;TEXT(Q68-ROUNDUP((E68*IF(IFERROR(VLOOKUP(D68,NBR!$C:$F,4,0),J68)=J68,J68*1.2,IFERROR(VLOOKUP(D68,NBR!$C:$F,4,0),J68*1.2)))/(M68*N68*O68),0),"0")&amp;" luminaria(s)"),"OK")))</f>
        <v>#VALUE!</v>
      </c>
      <c r="V68" s="48" t="e">
        <f t="shared" si="0"/>
        <v>#VALUE!</v>
      </c>
      <c r="W68" s="57"/>
      <c r="X68" s="55"/>
      <c r="Y68" s="56"/>
      <c r="AA68" s="34"/>
      <c r="AB68" s="34"/>
      <c r="AC68" s="34"/>
      <c r="AD68" s="34"/>
    </row>
    <row r="69" spans="1:30" ht="18" customHeight="1" x14ac:dyDescent="0.25">
      <c r="A69" s="85"/>
      <c r="B69" s="85"/>
      <c r="C69" s="58"/>
      <c r="D69" s="59"/>
      <c r="E69" s="50" t="str">
        <f t="shared" si="5"/>
        <v/>
      </c>
      <c r="F69" s="50"/>
      <c r="G69" s="51"/>
      <c r="H69" s="51"/>
      <c r="I69" s="51"/>
      <c r="J69" s="44" t="str">
        <f>IFERROR(VLOOKUP(D69,NBR!$C:$E,3,0),"")</f>
        <v/>
      </c>
      <c r="K69" s="50" t="e">
        <f t="shared" si="4"/>
        <v>#VALUE!</v>
      </c>
      <c r="L69" s="82"/>
      <c r="M69" s="46" t="str">
        <f>IFERROR(VLOOKUP(L69,LAMPADAS!$A:$B,2,0),"")</f>
        <v/>
      </c>
      <c r="N69" s="51"/>
      <c r="O69" s="51"/>
      <c r="P69" s="50" t="str">
        <f t="shared" si="1"/>
        <v/>
      </c>
      <c r="Q69" s="31"/>
      <c r="R69" s="47" t="str">
        <f>IFERROR(VLOOKUP(L69,#REF!,4,0),"")</f>
        <v/>
      </c>
      <c r="S69" s="53" t="str">
        <f t="shared" si="2"/>
        <v/>
      </c>
      <c r="T69" s="54" t="e">
        <f t="shared" si="3"/>
        <v>#VALUE!</v>
      </c>
      <c r="U69" s="22" t="e">
        <f>IF(E69*J69*M69=0,"",IF((Q69*M69*N69*O69)/E69&lt;IF(IFERROR(VLOOKUP(D69,NBR!$C:$D,2,0),J69)=IFERROR(VLOOKUP(D69,NBR!$C:$F,4,0),J69),J69*0.9,IFERROR(VLOOKUP(D69,NBR!$C:$D,2,0),J69*0.9)),"COLOCAR +"&amp;TEXT(ROUNDUP((E69*J69)/(M69*N69*O69),0)-Q69,"0")&amp;" luminaria(s)",IF((Q69*M69*N69*O69)/E69&gt;IF(IFERROR(VLOOKUP(D69,NBR!$C:$F,4,0),J69)=IFERROR(VLOOKUP(D69,NBR!$C:$D,2,0),J69),J69*1.2,IFERROR(VLOOKUP(D69,NBR!$C:$F,4,0),J69*1.2)),IF(Q69=1,"Reduzir potencia luminaria","RETIRAR -"&amp;TEXT(Q69-ROUNDUP((E69*IF(IFERROR(VLOOKUP(D69,NBR!$C:$F,4,0),J69)=J69,J69*1.2,IFERROR(VLOOKUP(D69,NBR!$C:$F,4,0),J69*1.2)))/(M69*N69*O69),0),"0")&amp;" luminaria(s)"),"OK")))</f>
        <v>#VALUE!</v>
      </c>
      <c r="V69" s="52" t="e">
        <f t="shared" ref="V69:V132" si="6">IF(E69*M69=0,"",ROUND((Q69*M69*N69*O69)/E69,0))</f>
        <v>#VALUE!</v>
      </c>
      <c r="W69" s="60"/>
      <c r="X69" s="60"/>
      <c r="Y69" s="60"/>
      <c r="AA69" s="61"/>
      <c r="AB69" s="34"/>
      <c r="AC69" s="34"/>
      <c r="AD69" s="34"/>
    </row>
    <row r="70" spans="1:30" ht="18" customHeight="1" x14ac:dyDescent="0.25">
      <c r="A70" s="86"/>
      <c r="B70" s="86"/>
      <c r="C70" s="83"/>
      <c r="D70" s="17"/>
      <c r="E70" s="43" t="str">
        <f t="shared" si="5"/>
        <v/>
      </c>
      <c r="F70" s="43"/>
      <c r="G70" s="27"/>
      <c r="H70" s="27"/>
      <c r="I70" s="27"/>
      <c r="J70" s="44" t="str">
        <f>IFERROR(VLOOKUP(D70,NBR!$C:$E,3,0),"")</f>
        <v/>
      </c>
      <c r="K70" s="43" t="e">
        <f t="shared" si="4"/>
        <v>#VALUE!</v>
      </c>
      <c r="L70" s="45"/>
      <c r="M70" s="46" t="str">
        <f>IFERROR(VLOOKUP(L70,LAMPADAS!$A:$B,2,0),"")</f>
        <v/>
      </c>
      <c r="N70" s="27"/>
      <c r="O70" s="27"/>
      <c r="P70" s="45" t="str">
        <f t="shared" ref="P70:P133" si="7">IF(AND(E70&lt;&gt;"",J70&lt;&gt;"",M70&lt;&gt;"",N70&lt;&gt;"",O70&lt;&gt;"",N70&lt;&gt;0,O70&lt;&gt;0), ROUNDUP((E70*J70)/(M70*N70*O70),0), "")</f>
        <v/>
      </c>
      <c r="Q70" s="29"/>
      <c r="R70" s="47" t="str">
        <f>IFERROR(VLOOKUP(L70,#REF!,4,0),"")</f>
        <v/>
      </c>
      <c r="S70" s="48" t="str">
        <f t="shared" ref="S70:S133" si="8">IF(AND(Q70&lt;&gt;"",R70&lt;&gt;""),Q70*R70,"")</f>
        <v/>
      </c>
      <c r="T70" s="49" t="e">
        <f t="shared" ref="T70:T133" si="9">IF(E70*J70=0,"—",IF((Q70*M70*N70*O70)/E70&lt;J70*0.9,"INSUFICIENTE -"&amp;TEXT(ABS(((Q70*M70*N70*O70)/E70-J70)/J70)*100,"0")&amp;"%",IF((Q70*M70*N70*O70)/E70&gt;J70*1.31,"ACIMA +"&amp;TEXT((((Q70*M70*N70*O70)/E70-J70)/J70)*100,"0")&amp;"%","OK "&amp;IF((Q70*M70*N70*O70)/E70&gt;=J70,"+","")&amp;TEXT((((Q70*M70*N70*O70)/E70-J70)/J70)*100,"0")&amp;"%")))</f>
        <v>#VALUE!</v>
      </c>
      <c r="U70" s="17" t="e">
        <f>IF(E70*J70*M70=0,"",IF((Q70*M70*N70*O70)/E70&lt;IF(IFERROR(VLOOKUP(D70,NBR!$C:$D,2,0),J70)=IFERROR(VLOOKUP(D70,NBR!$C:$F,4,0),J70),J70*0.9,IFERROR(VLOOKUP(D70,NBR!$C:$D,2,0),J70*0.9)),"COLOCAR +"&amp;TEXT(ROUNDUP((E70*J70)/(M70*N70*O70),0)-Q70,"0")&amp;" luminaria(s)",IF((Q70*M70*N70*O70)/E70&gt;IF(IFERROR(VLOOKUP(D70,NBR!$C:$F,4,0),J70)=IFERROR(VLOOKUP(D70,NBR!$C:$D,2,0),J70),J70*1.2,IFERROR(VLOOKUP(D70,NBR!$C:$F,4,0),J70*1.2)),IF(Q70=1,"Reduzir potencia luminaria","RETIRAR -"&amp;TEXT(Q70-ROUNDUP((E70*IF(IFERROR(VLOOKUP(D70,NBR!$C:$F,4,0),J70)=J70,J70*1.2,IFERROR(VLOOKUP(D70,NBR!$C:$F,4,0),J70*1.2)))/(M70*N70*O70),0),"0")&amp;" luminaria(s)"),"OK")))</f>
        <v>#VALUE!</v>
      </c>
      <c r="V70" s="48" t="e">
        <f t="shared" si="6"/>
        <v>#VALUE!</v>
      </c>
      <c r="W70" s="57"/>
      <c r="X70" s="55"/>
      <c r="Y70" s="56"/>
      <c r="AA70" s="34"/>
      <c r="AB70" s="34"/>
      <c r="AC70" s="34"/>
      <c r="AD70" s="34"/>
    </row>
    <row r="71" spans="1:30" ht="18" customHeight="1" x14ac:dyDescent="0.25">
      <c r="A71" s="85"/>
      <c r="B71" s="85"/>
      <c r="C71" s="58"/>
      <c r="D71" s="59"/>
      <c r="E71" s="50" t="str">
        <f t="shared" si="5"/>
        <v/>
      </c>
      <c r="F71" s="50"/>
      <c r="G71" s="51"/>
      <c r="H71" s="51"/>
      <c r="I71" s="51"/>
      <c r="J71" s="44" t="str">
        <f>IFERROR(VLOOKUP(D71,NBR!$C:$E,3,0),"")</f>
        <v/>
      </c>
      <c r="K71" s="50" t="e">
        <f t="shared" ref="K71:K134" si="10">IF(E71*F71*I71=0,"",(4*E71)/((F71)*I71))</f>
        <v>#VALUE!</v>
      </c>
      <c r="L71" s="82"/>
      <c r="M71" s="46" t="str">
        <f>IFERROR(VLOOKUP(L71,LAMPADAS!$A:$B,2,0),"")</f>
        <v/>
      </c>
      <c r="N71" s="51"/>
      <c r="O71" s="51"/>
      <c r="P71" s="50" t="str">
        <f t="shared" si="7"/>
        <v/>
      </c>
      <c r="Q71" s="31"/>
      <c r="R71" s="47" t="str">
        <f>IFERROR(VLOOKUP(L71,#REF!,4,0),"")</f>
        <v/>
      </c>
      <c r="S71" s="53" t="str">
        <f t="shared" si="8"/>
        <v/>
      </c>
      <c r="T71" s="54" t="e">
        <f t="shared" si="9"/>
        <v>#VALUE!</v>
      </c>
      <c r="U71" s="22" t="e">
        <f>IF(E71*J71*M71=0,"",IF((Q71*M71*N71*O71)/E71&lt;IF(IFERROR(VLOOKUP(D71,NBR!$C:$D,2,0),J71)=IFERROR(VLOOKUP(D71,NBR!$C:$F,4,0),J71),J71*0.9,IFERROR(VLOOKUP(D71,NBR!$C:$D,2,0),J71*0.9)),"COLOCAR +"&amp;TEXT(ROUNDUP((E71*J71)/(M71*N71*O71),0)-Q71,"0")&amp;" luminaria(s)",IF((Q71*M71*N71*O71)/E71&gt;IF(IFERROR(VLOOKUP(D71,NBR!$C:$F,4,0),J71)=IFERROR(VLOOKUP(D71,NBR!$C:$D,2,0),J71),J71*1.2,IFERROR(VLOOKUP(D71,NBR!$C:$F,4,0),J71*1.2)),IF(Q71=1,"Reduzir potencia luminaria","RETIRAR -"&amp;TEXT(Q71-ROUNDUP((E71*IF(IFERROR(VLOOKUP(D71,NBR!$C:$F,4,0),J71)=J71,J71*1.2,IFERROR(VLOOKUP(D71,NBR!$C:$F,4,0),J71*1.2)))/(M71*N71*O71),0),"0")&amp;" luminaria(s)"),"OK")))</f>
        <v>#VALUE!</v>
      </c>
      <c r="V71" s="52" t="e">
        <f t="shared" si="6"/>
        <v>#VALUE!</v>
      </c>
      <c r="W71" s="60"/>
      <c r="X71" s="60"/>
      <c r="Y71" s="60"/>
      <c r="AA71" s="61"/>
      <c r="AB71" s="34"/>
      <c r="AC71" s="34"/>
      <c r="AD71" s="34"/>
    </row>
    <row r="72" spans="1:30" ht="18" customHeight="1" x14ac:dyDescent="0.25">
      <c r="A72" s="86"/>
      <c r="B72" s="86"/>
      <c r="C72" s="83"/>
      <c r="D72" s="17"/>
      <c r="E72" s="43" t="str">
        <f t="shared" si="5"/>
        <v/>
      </c>
      <c r="F72" s="43"/>
      <c r="G72" s="27"/>
      <c r="H72" s="27"/>
      <c r="I72" s="27"/>
      <c r="J72" s="44" t="str">
        <f>IFERROR(VLOOKUP(D72,NBR!$C:$E,3,0),"")</f>
        <v/>
      </c>
      <c r="K72" s="43" t="e">
        <f t="shared" si="10"/>
        <v>#VALUE!</v>
      </c>
      <c r="L72" s="45"/>
      <c r="M72" s="46" t="str">
        <f>IFERROR(VLOOKUP(L72,LAMPADAS!$A:$B,2,0),"")</f>
        <v/>
      </c>
      <c r="N72" s="27"/>
      <c r="O72" s="27"/>
      <c r="P72" s="45" t="str">
        <f t="shared" si="7"/>
        <v/>
      </c>
      <c r="Q72" s="29"/>
      <c r="R72" s="47" t="str">
        <f>IFERROR(VLOOKUP(L72,#REF!,4,0),"")</f>
        <v/>
      </c>
      <c r="S72" s="48" t="str">
        <f t="shared" si="8"/>
        <v/>
      </c>
      <c r="T72" s="49" t="e">
        <f t="shared" si="9"/>
        <v>#VALUE!</v>
      </c>
      <c r="U72" s="17" t="e">
        <f>IF(E72*J72*M72=0,"",IF((Q72*M72*N72*O72)/E72&lt;IF(IFERROR(VLOOKUP(D72,NBR!$C:$D,2,0),J72)=IFERROR(VLOOKUP(D72,NBR!$C:$F,4,0),J72),J72*0.9,IFERROR(VLOOKUP(D72,NBR!$C:$D,2,0),J72*0.9)),"COLOCAR +"&amp;TEXT(ROUNDUP((E72*J72)/(M72*N72*O72),0)-Q72,"0")&amp;" luminaria(s)",IF((Q72*M72*N72*O72)/E72&gt;IF(IFERROR(VLOOKUP(D72,NBR!$C:$F,4,0),J72)=IFERROR(VLOOKUP(D72,NBR!$C:$D,2,0),J72),J72*1.2,IFERROR(VLOOKUP(D72,NBR!$C:$F,4,0),J72*1.2)),IF(Q72=1,"Reduzir potencia luminaria","RETIRAR -"&amp;TEXT(Q72-ROUNDUP((E72*IF(IFERROR(VLOOKUP(D72,NBR!$C:$F,4,0),J72)=J72,J72*1.2,IFERROR(VLOOKUP(D72,NBR!$C:$F,4,0),J72*1.2)))/(M72*N72*O72),0),"0")&amp;" luminaria(s)"),"OK")))</f>
        <v>#VALUE!</v>
      </c>
      <c r="V72" s="48" t="e">
        <f t="shared" si="6"/>
        <v>#VALUE!</v>
      </c>
      <c r="W72" s="57"/>
      <c r="X72" s="55"/>
      <c r="Y72" s="56"/>
      <c r="AA72" s="34"/>
      <c r="AB72" s="34"/>
      <c r="AC72" s="34"/>
      <c r="AD72" s="34"/>
    </row>
    <row r="73" spans="1:30" ht="18" customHeight="1" x14ac:dyDescent="0.25">
      <c r="A73" s="85"/>
      <c r="B73" s="85"/>
      <c r="C73" s="58"/>
      <c r="D73" s="59"/>
      <c r="E73" s="50" t="str">
        <f t="shared" si="5"/>
        <v/>
      </c>
      <c r="F73" s="50"/>
      <c r="G73" s="51"/>
      <c r="H73" s="51"/>
      <c r="I73" s="51"/>
      <c r="J73" s="44" t="str">
        <f>IFERROR(VLOOKUP(D73,NBR!$C:$E,3,0),"")</f>
        <v/>
      </c>
      <c r="K73" s="50" t="e">
        <f t="shared" si="10"/>
        <v>#VALUE!</v>
      </c>
      <c r="L73" s="82"/>
      <c r="M73" s="46" t="str">
        <f>IFERROR(VLOOKUP(L73,LAMPADAS!$A:$B,2,0),"")</f>
        <v/>
      </c>
      <c r="N73" s="51"/>
      <c r="O73" s="51"/>
      <c r="P73" s="50" t="str">
        <f t="shared" si="7"/>
        <v/>
      </c>
      <c r="Q73" s="31"/>
      <c r="R73" s="47" t="str">
        <f>IFERROR(VLOOKUP(L73,#REF!,4,0),"")</f>
        <v/>
      </c>
      <c r="S73" s="53" t="str">
        <f t="shared" si="8"/>
        <v/>
      </c>
      <c r="T73" s="54" t="e">
        <f t="shared" si="9"/>
        <v>#VALUE!</v>
      </c>
      <c r="U73" s="22" t="e">
        <f>IF(E73*J73*M73=0,"",IF((Q73*M73*N73*O73)/E73&lt;IF(IFERROR(VLOOKUP(D73,NBR!$C:$D,2,0),J73)=IFERROR(VLOOKUP(D73,NBR!$C:$F,4,0),J73),J73*0.9,IFERROR(VLOOKUP(D73,NBR!$C:$D,2,0),J73*0.9)),"COLOCAR +"&amp;TEXT(ROUNDUP((E73*J73)/(M73*N73*O73),0)-Q73,"0")&amp;" luminaria(s)",IF((Q73*M73*N73*O73)/E73&gt;IF(IFERROR(VLOOKUP(D73,NBR!$C:$F,4,0),J73)=IFERROR(VLOOKUP(D73,NBR!$C:$D,2,0),J73),J73*1.2,IFERROR(VLOOKUP(D73,NBR!$C:$F,4,0),J73*1.2)),IF(Q73=1,"Reduzir potencia luminaria","RETIRAR -"&amp;TEXT(Q73-ROUNDUP((E73*IF(IFERROR(VLOOKUP(D73,NBR!$C:$F,4,0),J73)=J73,J73*1.2,IFERROR(VLOOKUP(D73,NBR!$C:$F,4,0),J73*1.2)))/(M73*N73*O73),0),"0")&amp;" luminaria(s)"),"OK")))</f>
        <v>#VALUE!</v>
      </c>
      <c r="V73" s="52" t="e">
        <f t="shared" si="6"/>
        <v>#VALUE!</v>
      </c>
      <c r="W73" s="60"/>
      <c r="X73" s="60"/>
      <c r="Y73" s="60"/>
      <c r="AA73" s="61"/>
      <c r="AB73" s="34"/>
      <c r="AC73" s="34"/>
      <c r="AD73" s="34"/>
    </row>
    <row r="74" spans="1:30" ht="18" customHeight="1" x14ac:dyDescent="0.25">
      <c r="A74" s="86"/>
      <c r="B74" s="86"/>
      <c r="C74" s="83"/>
      <c r="D74" s="17"/>
      <c r="E74" s="43" t="str">
        <f t="shared" si="5"/>
        <v/>
      </c>
      <c r="F74" s="43"/>
      <c r="G74" s="27"/>
      <c r="H74" s="27"/>
      <c r="I74" s="27"/>
      <c r="J74" s="44" t="str">
        <f>IFERROR(VLOOKUP(D74,NBR!$C:$E,3,0),"")</f>
        <v/>
      </c>
      <c r="K74" s="43" t="e">
        <f t="shared" si="10"/>
        <v>#VALUE!</v>
      </c>
      <c r="L74" s="45"/>
      <c r="M74" s="46" t="str">
        <f>IFERROR(VLOOKUP(L74,LAMPADAS!$A:$B,2,0),"")</f>
        <v/>
      </c>
      <c r="N74" s="27"/>
      <c r="O74" s="27"/>
      <c r="P74" s="45" t="str">
        <f t="shared" si="7"/>
        <v/>
      </c>
      <c r="Q74" s="29"/>
      <c r="R74" s="47" t="str">
        <f>IFERROR(VLOOKUP(L74,#REF!,4,0),"")</f>
        <v/>
      </c>
      <c r="S74" s="48" t="str">
        <f t="shared" si="8"/>
        <v/>
      </c>
      <c r="T74" s="49" t="e">
        <f t="shared" si="9"/>
        <v>#VALUE!</v>
      </c>
      <c r="U74" s="17" t="e">
        <f>IF(E74*J74*M74=0,"",IF((Q74*M74*N74*O74)/E74&lt;IF(IFERROR(VLOOKUP(D74,NBR!$C:$D,2,0),J74)=IFERROR(VLOOKUP(D74,NBR!$C:$F,4,0),J74),J74*0.9,IFERROR(VLOOKUP(D74,NBR!$C:$D,2,0),J74*0.9)),"COLOCAR +"&amp;TEXT(ROUNDUP((E74*J74)/(M74*N74*O74),0)-Q74,"0")&amp;" luminaria(s)",IF((Q74*M74*N74*O74)/E74&gt;IF(IFERROR(VLOOKUP(D74,NBR!$C:$F,4,0),J74)=IFERROR(VLOOKUP(D74,NBR!$C:$D,2,0),J74),J74*1.2,IFERROR(VLOOKUP(D74,NBR!$C:$F,4,0),J74*1.2)),IF(Q74=1,"Reduzir potencia luminaria","RETIRAR -"&amp;TEXT(Q74-ROUNDUP((E74*IF(IFERROR(VLOOKUP(D74,NBR!$C:$F,4,0),J74)=J74,J74*1.2,IFERROR(VLOOKUP(D74,NBR!$C:$F,4,0),J74*1.2)))/(M74*N74*O74),0),"0")&amp;" luminaria(s)"),"OK")))</f>
        <v>#VALUE!</v>
      </c>
      <c r="V74" s="48" t="e">
        <f t="shared" si="6"/>
        <v>#VALUE!</v>
      </c>
      <c r="W74" s="57"/>
      <c r="X74" s="55"/>
      <c r="Y74" s="56"/>
      <c r="AA74" s="34"/>
      <c r="AB74" s="34"/>
      <c r="AC74" s="34"/>
      <c r="AD74" s="34"/>
    </row>
    <row r="75" spans="1:30" ht="18" customHeight="1" x14ac:dyDescent="0.25">
      <c r="A75" s="85"/>
      <c r="B75" s="85"/>
      <c r="C75" s="58"/>
      <c r="D75" s="59"/>
      <c r="E75" s="50" t="str">
        <f t="shared" si="5"/>
        <v/>
      </c>
      <c r="F75" s="50"/>
      <c r="G75" s="51"/>
      <c r="H75" s="51"/>
      <c r="I75" s="51"/>
      <c r="J75" s="44" t="str">
        <f>IFERROR(VLOOKUP(D75,NBR!$C:$E,3,0),"")</f>
        <v/>
      </c>
      <c r="K75" s="50" t="e">
        <f t="shared" si="10"/>
        <v>#VALUE!</v>
      </c>
      <c r="L75" s="82"/>
      <c r="M75" s="46" t="str">
        <f>IFERROR(VLOOKUP(L75,LAMPADAS!$A:$B,2,0),"")</f>
        <v/>
      </c>
      <c r="N75" s="51"/>
      <c r="O75" s="51"/>
      <c r="P75" s="50" t="str">
        <f t="shared" si="7"/>
        <v/>
      </c>
      <c r="Q75" s="31"/>
      <c r="R75" s="47" t="str">
        <f>IFERROR(VLOOKUP(L75,#REF!,4,0),"")</f>
        <v/>
      </c>
      <c r="S75" s="53" t="str">
        <f t="shared" si="8"/>
        <v/>
      </c>
      <c r="T75" s="54" t="e">
        <f t="shared" si="9"/>
        <v>#VALUE!</v>
      </c>
      <c r="U75" s="22" t="e">
        <f>IF(E75*J75*M75=0,"",IF((Q75*M75*N75*O75)/E75&lt;IF(IFERROR(VLOOKUP(D75,NBR!$C:$D,2,0),J75)=IFERROR(VLOOKUP(D75,NBR!$C:$F,4,0),J75),J75*0.9,IFERROR(VLOOKUP(D75,NBR!$C:$D,2,0),J75*0.9)),"COLOCAR +"&amp;TEXT(ROUNDUP((E75*J75)/(M75*N75*O75),0)-Q75,"0")&amp;" luminaria(s)",IF((Q75*M75*N75*O75)/E75&gt;IF(IFERROR(VLOOKUP(D75,NBR!$C:$F,4,0),J75)=IFERROR(VLOOKUP(D75,NBR!$C:$D,2,0),J75),J75*1.2,IFERROR(VLOOKUP(D75,NBR!$C:$F,4,0),J75*1.2)),IF(Q75=1,"Reduzir potencia luminaria","RETIRAR -"&amp;TEXT(Q75-ROUNDUP((E75*IF(IFERROR(VLOOKUP(D75,NBR!$C:$F,4,0),J75)=J75,J75*1.2,IFERROR(VLOOKUP(D75,NBR!$C:$F,4,0),J75*1.2)))/(M75*N75*O75),0),"0")&amp;" luminaria(s)"),"OK")))</f>
        <v>#VALUE!</v>
      </c>
      <c r="V75" s="52" t="e">
        <f t="shared" si="6"/>
        <v>#VALUE!</v>
      </c>
      <c r="W75" s="60"/>
      <c r="X75" s="60"/>
      <c r="Y75" s="60"/>
      <c r="AA75" s="61"/>
      <c r="AB75" s="34"/>
      <c r="AC75" s="34"/>
      <c r="AD75" s="34"/>
    </row>
    <row r="76" spans="1:30" ht="18" customHeight="1" x14ac:dyDescent="0.25">
      <c r="A76" s="86"/>
      <c r="B76" s="86"/>
      <c r="C76" s="83"/>
      <c r="D76" s="17"/>
      <c r="E76" s="43" t="str">
        <f t="shared" si="5"/>
        <v/>
      </c>
      <c r="F76" s="43"/>
      <c r="G76" s="27"/>
      <c r="H76" s="27"/>
      <c r="I76" s="27"/>
      <c r="J76" s="44" t="str">
        <f>IFERROR(VLOOKUP(D76,NBR!$C:$E,3,0),"")</f>
        <v/>
      </c>
      <c r="K76" s="43" t="e">
        <f t="shared" si="10"/>
        <v>#VALUE!</v>
      </c>
      <c r="L76" s="45"/>
      <c r="M76" s="46" t="str">
        <f>IFERROR(VLOOKUP(L76,LAMPADAS!$A:$B,2,0),"")</f>
        <v/>
      </c>
      <c r="N76" s="27"/>
      <c r="O76" s="27"/>
      <c r="P76" s="45" t="str">
        <f t="shared" si="7"/>
        <v/>
      </c>
      <c r="Q76" s="29"/>
      <c r="R76" s="47" t="str">
        <f>IFERROR(VLOOKUP(L76,#REF!,4,0),"")</f>
        <v/>
      </c>
      <c r="S76" s="48" t="str">
        <f t="shared" si="8"/>
        <v/>
      </c>
      <c r="T76" s="49" t="e">
        <f t="shared" si="9"/>
        <v>#VALUE!</v>
      </c>
      <c r="U76" s="17" t="e">
        <f>IF(E76*J76*M76=0,"",IF((Q76*M76*N76*O76)/E76&lt;IF(IFERROR(VLOOKUP(D76,NBR!$C:$D,2,0),J76)=IFERROR(VLOOKUP(D76,NBR!$C:$F,4,0),J76),J76*0.9,IFERROR(VLOOKUP(D76,NBR!$C:$D,2,0),J76*0.9)),"COLOCAR +"&amp;TEXT(ROUNDUP((E76*J76)/(M76*N76*O76),0)-Q76,"0")&amp;" luminaria(s)",IF((Q76*M76*N76*O76)/E76&gt;IF(IFERROR(VLOOKUP(D76,NBR!$C:$F,4,0),J76)=IFERROR(VLOOKUP(D76,NBR!$C:$D,2,0),J76),J76*1.2,IFERROR(VLOOKUP(D76,NBR!$C:$F,4,0),J76*1.2)),IF(Q76=1,"Reduzir potencia luminaria","RETIRAR -"&amp;TEXT(Q76-ROUNDUP((E76*IF(IFERROR(VLOOKUP(D76,NBR!$C:$F,4,0),J76)=J76,J76*1.2,IFERROR(VLOOKUP(D76,NBR!$C:$F,4,0),J76*1.2)))/(M76*N76*O76),0),"0")&amp;" luminaria(s)"),"OK")))</f>
        <v>#VALUE!</v>
      </c>
      <c r="V76" s="48" t="e">
        <f t="shared" si="6"/>
        <v>#VALUE!</v>
      </c>
      <c r="W76" s="57"/>
      <c r="X76" s="55"/>
      <c r="Y76" s="56"/>
      <c r="AA76" s="34"/>
      <c r="AB76" s="34"/>
      <c r="AC76" s="34"/>
      <c r="AD76" s="34"/>
    </row>
    <row r="77" spans="1:30" ht="18" customHeight="1" x14ac:dyDescent="0.25">
      <c r="A77" s="85"/>
      <c r="B77" s="85"/>
      <c r="C77" s="58"/>
      <c r="D77" s="59"/>
      <c r="E77" s="50" t="str">
        <f t="shared" si="5"/>
        <v/>
      </c>
      <c r="F77" s="50"/>
      <c r="G77" s="51"/>
      <c r="H77" s="51"/>
      <c r="I77" s="51"/>
      <c r="J77" s="44" t="str">
        <f>IFERROR(VLOOKUP(D77,NBR!$C:$E,3,0),"")</f>
        <v/>
      </c>
      <c r="K77" s="50" t="e">
        <f t="shared" si="10"/>
        <v>#VALUE!</v>
      </c>
      <c r="L77" s="82"/>
      <c r="M77" s="46" t="str">
        <f>IFERROR(VLOOKUP(L77,LAMPADAS!$A:$B,2,0),"")</f>
        <v/>
      </c>
      <c r="N77" s="51"/>
      <c r="O77" s="51"/>
      <c r="P77" s="50" t="str">
        <f t="shared" si="7"/>
        <v/>
      </c>
      <c r="Q77" s="31"/>
      <c r="R77" s="47" t="str">
        <f>IFERROR(VLOOKUP(L77,#REF!,4,0),"")</f>
        <v/>
      </c>
      <c r="S77" s="53" t="str">
        <f t="shared" si="8"/>
        <v/>
      </c>
      <c r="T77" s="54" t="e">
        <f t="shared" si="9"/>
        <v>#VALUE!</v>
      </c>
      <c r="U77" s="22" t="e">
        <f>IF(E77*J77*M77=0,"",IF((Q77*M77*N77*O77)/E77&lt;IF(IFERROR(VLOOKUP(D77,NBR!$C:$D,2,0),J77)=IFERROR(VLOOKUP(D77,NBR!$C:$F,4,0),J77),J77*0.9,IFERROR(VLOOKUP(D77,NBR!$C:$D,2,0),J77*0.9)),"COLOCAR +"&amp;TEXT(ROUNDUP((E77*J77)/(M77*N77*O77),0)-Q77,"0")&amp;" luminaria(s)",IF((Q77*M77*N77*O77)/E77&gt;IF(IFERROR(VLOOKUP(D77,NBR!$C:$F,4,0),J77)=IFERROR(VLOOKUP(D77,NBR!$C:$D,2,0),J77),J77*1.2,IFERROR(VLOOKUP(D77,NBR!$C:$F,4,0),J77*1.2)),IF(Q77=1,"Reduzir potencia luminaria","RETIRAR -"&amp;TEXT(Q77-ROUNDUP((E77*IF(IFERROR(VLOOKUP(D77,NBR!$C:$F,4,0),J77)=J77,J77*1.2,IFERROR(VLOOKUP(D77,NBR!$C:$F,4,0),J77*1.2)))/(M77*N77*O77),0),"0")&amp;" luminaria(s)"),"OK")))</f>
        <v>#VALUE!</v>
      </c>
      <c r="V77" s="52" t="e">
        <f t="shared" si="6"/>
        <v>#VALUE!</v>
      </c>
      <c r="W77" s="60"/>
      <c r="X77" s="60"/>
      <c r="Y77" s="60"/>
      <c r="AA77" s="61"/>
      <c r="AB77" s="34"/>
      <c r="AC77" s="34"/>
      <c r="AD77" s="34"/>
    </row>
    <row r="78" spans="1:30" ht="18" customHeight="1" x14ac:dyDescent="0.25">
      <c r="A78" s="86"/>
      <c r="B78" s="86"/>
      <c r="C78" s="83"/>
      <c r="D78" s="17"/>
      <c r="E78" s="43" t="str">
        <f t="shared" si="5"/>
        <v/>
      </c>
      <c r="F78" s="43"/>
      <c r="G78" s="27"/>
      <c r="H78" s="27"/>
      <c r="I78" s="27"/>
      <c r="J78" s="44" t="str">
        <f>IFERROR(VLOOKUP(D78,NBR!$C:$E,3,0),"")</f>
        <v/>
      </c>
      <c r="K78" s="43" t="e">
        <f t="shared" si="10"/>
        <v>#VALUE!</v>
      </c>
      <c r="L78" s="45"/>
      <c r="M78" s="46" t="str">
        <f>IFERROR(VLOOKUP(L78,LAMPADAS!$A:$B,2,0),"")</f>
        <v/>
      </c>
      <c r="N78" s="27"/>
      <c r="O78" s="27"/>
      <c r="P78" s="45" t="str">
        <f t="shared" si="7"/>
        <v/>
      </c>
      <c r="Q78" s="29"/>
      <c r="R78" s="47" t="str">
        <f>IFERROR(VLOOKUP(L78,#REF!,4,0),"")</f>
        <v/>
      </c>
      <c r="S78" s="48" t="str">
        <f t="shared" si="8"/>
        <v/>
      </c>
      <c r="T78" s="49" t="e">
        <f t="shared" si="9"/>
        <v>#VALUE!</v>
      </c>
      <c r="U78" s="17" t="e">
        <f>IF(E78*J78*M78=0,"",IF((Q78*M78*N78*O78)/E78&lt;IF(IFERROR(VLOOKUP(D78,NBR!$C:$D,2,0),J78)=IFERROR(VLOOKUP(D78,NBR!$C:$F,4,0),J78),J78*0.9,IFERROR(VLOOKUP(D78,NBR!$C:$D,2,0),J78*0.9)),"COLOCAR +"&amp;TEXT(ROUNDUP((E78*J78)/(M78*N78*O78),0)-Q78,"0")&amp;" luminaria(s)",IF((Q78*M78*N78*O78)/E78&gt;IF(IFERROR(VLOOKUP(D78,NBR!$C:$F,4,0),J78)=IFERROR(VLOOKUP(D78,NBR!$C:$D,2,0),J78),J78*1.2,IFERROR(VLOOKUP(D78,NBR!$C:$F,4,0),J78*1.2)),IF(Q78=1,"Reduzir potencia luminaria","RETIRAR -"&amp;TEXT(Q78-ROUNDUP((E78*IF(IFERROR(VLOOKUP(D78,NBR!$C:$F,4,0),J78)=J78,J78*1.2,IFERROR(VLOOKUP(D78,NBR!$C:$F,4,0),J78*1.2)))/(M78*N78*O78),0),"0")&amp;" luminaria(s)"),"OK")))</f>
        <v>#VALUE!</v>
      </c>
      <c r="V78" s="48" t="e">
        <f t="shared" si="6"/>
        <v>#VALUE!</v>
      </c>
      <c r="W78" s="57"/>
      <c r="X78" s="55"/>
      <c r="Y78" s="56"/>
      <c r="AA78" s="34"/>
      <c r="AB78" s="34"/>
      <c r="AC78" s="34"/>
      <c r="AD78" s="34"/>
    </row>
    <row r="79" spans="1:30" ht="18" customHeight="1" x14ac:dyDescent="0.25">
      <c r="A79" s="85"/>
      <c r="B79" s="85"/>
      <c r="C79" s="58"/>
      <c r="D79" s="59"/>
      <c r="E79" s="50" t="str">
        <f t="shared" si="5"/>
        <v/>
      </c>
      <c r="F79" s="50"/>
      <c r="G79" s="51"/>
      <c r="H79" s="51"/>
      <c r="I79" s="51"/>
      <c r="J79" s="44" t="str">
        <f>IFERROR(VLOOKUP(D79,NBR!$C:$E,3,0),"")</f>
        <v/>
      </c>
      <c r="K79" s="50" t="e">
        <f t="shared" si="10"/>
        <v>#VALUE!</v>
      </c>
      <c r="L79" s="82"/>
      <c r="M79" s="46" t="str">
        <f>IFERROR(VLOOKUP(L79,LAMPADAS!$A:$B,2,0),"")</f>
        <v/>
      </c>
      <c r="N79" s="51"/>
      <c r="O79" s="51"/>
      <c r="P79" s="50" t="str">
        <f t="shared" si="7"/>
        <v/>
      </c>
      <c r="Q79" s="31"/>
      <c r="R79" s="47" t="str">
        <f>IFERROR(VLOOKUP(L79,#REF!,4,0),"")</f>
        <v/>
      </c>
      <c r="S79" s="53" t="str">
        <f t="shared" si="8"/>
        <v/>
      </c>
      <c r="T79" s="54" t="e">
        <f t="shared" si="9"/>
        <v>#VALUE!</v>
      </c>
      <c r="U79" s="22" t="e">
        <f>IF(E79*J79*M79=0,"",IF((Q79*M79*N79*O79)/E79&lt;IF(IFERROR(VLOOKUP(D79,NBR!$C:$D,2,0),J79)=IFERROR(VLOOKUP(D79,NBR!$C:$F,4,0),J79),J79*0.9,IFERROR(VLOOKUP(D79,NBR!$C:$D,2,0),J79*0.9)),"COLOCAR +"&amp;TEXT(ROUNDUP((E79*J79)/(M79*N79*O79),0)-Q79,"0")&amp;" luminaria(s)",IF((Q79*M79*N79*O79)/E79&gt;IF(IFERROR(VLOOKUP(D79,NBR!$C:$F,4,0),J79)=IFERROR(VLOOKUP(D79,NBR!$C:$D,2,0),J79),J79*1.2,IFERROR(VLOOKUP(D79,NBR!$C:$F,4,0),J79*1.2)),IF(Q79=1,"Reduzir potencia luminaria","RETIRAR -"&amp;TEXT(Q79-ROUNDUP((E79*IF(IFERROR(VLOOKUP(D79,NBR!$C:$F,4,0),J79)=J79,J79*1.2,IFERROR(VLOOKUP(D79,NBR!$C:$F,4,0),J79*1.2)))/(M79*N79*O79),0),"0")&amp;" luminaria(s)"),"OK")))</f>
        <v>#VALUE!</v>
      </c>
      <c r="V79" s="52" t="e">
        <f t="shared" si="6"/>
        <v>#VALUE!</v>
      </c>
      <c r="W79" s="60"/>
      <c r="X79" s="60"/>
      <c r="Y79" s="60"/>
      <c r="AA79" s="61"/>
      <c r="AB79" s="34"/>
      <c r="AC79" s="34"/>
      <c r="AD79" s="34"/>
    </row>
    <row r="80" spans="1:30" ht="18" customHeight="1" x14ac:dyDescent="0.25">
      <c r="A80" s="86"/>
      <c r="B80" s="86"/>
      <c r="C80" s="83"/>
      <c r="D80" s="17"/>
      <c r="E80" s="43" t="str">
        <f t="shared" si="5"/>
        <v/>
      </c>
      <c r="F80" s="43"/>
      <c r="G80" s="27"/>
      <c r="H80" s="27"/>
      <c r="I80" s="27"/>
      <c r="J80" s="44" t="str">
        <f>IFERROR(VLOOKUP(D80,NBR!$C:$E,3,0),"")</f>
        <v/>
      </c>
      <c r="K80" s="43" t="e">
        <f t="shared" si="10"/>
        <v>#VALUE!</v>
      </c>
      <c r="L80" s="45"/>
      <c r="M80" s="46" t="str">
        <f>IFERROR(VLOOKUP(L80,LAMPADAS!$A:$B,2,0),"")</f>
        <v/>
      </c>
      <c r="N80" s="27"/>
      <c r="O80" s="27"/>
      <c r="P80" s="45" t="str">
        <f t="shared" si="7"/>
        <v/>
      </c>
      <c r="Q80" s="29"/>
      <c r="R80" s="47" t="str">
        <f>IFERROR(VLOOKUP(L80,#REF!,4,0),"")</f>
        <v/>
      </c>
      <c r="S80" s="48" t="str">
        <f t="shared" si="8"/>
        <v/>
      </c>
      <c r="T80" s="49" t="e">
        <f t="shared" si="9"/>
        <v>#VALUE!</v>
      </c>
      <c r="U80" s="17" t="e">
        <f>IF(E80*J80*M80=0,"",IF((Q80*M80*N80*O80)/E80&lt;IF(IFERROR(VLOOKUP(D80,NBR!$C:$D,2,0),J80)=IFERROR(VLOOKUP(D80,NBR!$C:$F,4,0),J80),J80*0.9,IFERROR(VLOOKUP(D80,NBR!$C:$D,2,0),J80*0.9)),"COLOCAR +"&amp;TEXT(ROUNDUP((E80*J80)/(M80*N80*O80),0)-Q80,"0")&amp;" luminaria(s)",IF((Q80*M80*N80*O80)/E80&gt;IF(IFERROR(VLOOKUP(D80,NBR!$C:$F,4,0),J80)=IFERROR(VLOOKUP(D80,NBR!$C:$D,2,0),J80),J80*1.2,IFERROR(VLOOKUP(D80,NBR!$C:$F,4,0),J80*1.2)),IF(Q80=1,"Reduzir potencia luminaria","RETIRAR -"&amp;TEXT(Q80-ROUNDUP((E80*IF(IFERROR(VLOOKUP(D80,NBR!$C:$F,4,0),J80)=J80,J80*1.2,IFERROR(VLOOKUP(D80,NBR!$C:$F,4,0),J80*1.2)))/(M80*N80*O80),0),"0")&amp;" luminaria(s)"),"OK")))</f>
        <v>#VALUE!</v>
      </c>
      <c r="V80" s="48" t="e">
        <f t="shared" si="6"/>
        <v>#VALUE!</v>
      </c>
      <c r="W80" s="57"/>
      <c r="X80" s="55"/>
      <c r="Y80" s="56"/>
      <c r="AA80" s="34"/>
      <c r="AB80" s="34"/>
      <c r="AC80" s="34"/>
      <c r="AD80" s="34"/>
    </row>
    <row r="81" spans="1:30" ht="18" customHeight="1" x14ac:dyDescent="0.25">
      <c r="A81" s="85"/>
      <c r="B81" s="85"/>
      <c r="C81" s="58"/>
      <c r="D81" s="59"/>
      <c r="E81" s="50" t="str">
        <f t="shared" si="5"/>
        <v/>
      </c>
      <c r="F81" s="50"/>
      <c r="G81" s="51"/>
      <c r="H81" s="51"/>
      <c r="I81" s="51"/>
      <c r="J81" s="44" t="str">
        <f>IFERROR(VLOOKUP(D81,NBR!$C:$E,3,0),"")</f>
        <v/>
      </c>
      <c r="K81" s="50" t="e">
        <f t="shared" si="10"/>
        <v>#VALUE!</v>
      </c>
      <c r="L81" s="82"/>
      <c r="M81" s="46" t="str">
        <f>IFERROR(VLOOKUP(L81,LAMPADAS!$A:$B,2,0),"")</f>
        <v/>
      </c>
      <c r="N81" s="51"/>
      <c r="O81" s="51"/>
      <c r="P81" s="50" t="str">
        <f t="shared" si="7"/>
        <v/>
      </c>
      <c r="Q81" s="31"/>
      <c r="R81" s="47" t="str">
        <f>IFERROR(VLOOKUP(L81,#REF!,4,0),"")</f>
        <v/>
      </c>
      <c r="S81" s="53" t="str">
        <f t="shared" si="8"/>
        <v/>
      </c>
      <c r="T81" s="54" t="e">
        <f t="shared" si="9"/>
        <v>#VALUE!</v>
      </c>
      <c r="U81" s="22" t="e">
        <f>IF(E81*J81*M81=0,"",IF((Q81*M81*N81*O81)/E81&lt;IF(IFERROR(VLOOKUP(D81,NBR!$C:$D,2,0),J81)=IFERROR(VLOOKUP(D81,NBR!$C:$F,4,0),J81),J81*0.9,IFERROR(VLOOKUP(D81,NBR!$C:$D,2,0),J81*0.9)),"COLOCAR +"&amp;TEXT(ROUNDUP((E81*J81)/(M81*N81*O81),0)-Q81,"0")&amp;" luminaria(s)",IF((Q81*M81*N81*O81)/E81&gt;IF(IFERROR(VLOOKUP(D81,NBR!$C:$F,4,0),J81)=IFERROR(VLOOKUP(D81,NBR!$C:$D,2,0),J81),J81*1.2,IFERROR(VLOOKUP(D81,NBR!$C:$F,4,0),J81*1.2)),IF(Q81=1,"Reduzir potencia luminaria","RETIRAR -"&amp;TEXT(Q81-ROUNDUP((E81*IF(IFERROR(VLOOKUP(D81,NBR!$C:$F,4,0),J81)=J81,J81*1.2,IFERROR(VLOOKUP(D81,NBR!$C:$F,4,0),J81*1.2)))/(M81*N81*O81),0),"0")&amp;" luminaria(s)"),"OK")))</f>
        <v>#VALUE!</v>
      </c>
      <c r="V81" s="52" t="e">
        <f t="shared" si="6"/>
        <v>#VALUE!</v>
      </c>
      <c r="W81" s="60"/>
      <c r="X81" s="60"/>
      <c r="Y81" s="60"/>
      <c r="AA81" s="61"/>
      <c r="AB81" s="34"/>
      <c r="AC81" s="34"/>
      <c r="AD81" s="34"/>
    </row>
    <row r="82" spans="1:30" ht="18" customHeight="1" x14ac:dyDescent="0.25">
      <c r="A82" s="86"/>
      <c r="B82" s="86"/>
      <c r="C82" s="83"/>
      <c r="D82" s="17"/>
      <c r="E82" s="43" t="str">
        <f t="shared" si="5"/>
        <v/>
      </c>
      <c r="F82" s="43"/>
      <c r="G82" s="27"/>
      <c r="H82" s="27"/>
      <c r="I82" s="27"/>
      <c r="J82" s="44" t="str">
        <f>IFERROR(VLOOKUP(D82,NBR!$C:$E,3,0),"")</f>
        <v/>
      </c>
      <c r="K82" s="43" t="e">
        <f t="shared" si="10"/>
        <v>#VALUE!</v>
      </c>
      <c r="L82" s="45"/>
      <c r="M82" s="46" t="str">
        <f>IFERROR(VLOOKUP(L82,LAMPADAS!$A:$B,2,0),"")</f>
        <v/>
      </c>
      <c r="N82" s="27"/>
      <c r="O82" s="27"/>
      <c r="P82" s="45" t="str">
        <f t="shared" si="7"/>
        <v/>
      </c>
      <c r="Q82" s="29"/>
      <c r="R82" s="47" t="str">
        <f>IFERROR(VLOOKUP(L82,#REF!,4,0),"")</f>
        <v/>
      </c>
      <c r="S82" s="48" t="str">
        <f t="shared" si="8"/>
        <v/>
      </c>
      <c r="T82" s="49" t="e">
        <f t="shared" si="9"/>
        <v>#VALUE!</v>
      </c>
      <c r="U82" s="17" t="e">
        <f>IF(E82*J82*M82=0,"",IF((Q82*M82*N82*O82)/E82&lt;IF(IFERROR(VLOOKUP(D82,NBR!$C:$D,2,0),J82)=IFERROR(VLOOKUP(D82,NBR!$C:$F,4,0),J82),J82*0.9,IFERROR(VLOOKUP(D82,NBR!$C:$D,2,0),J82*0.9)),"COLOCAR +"&amp;TEXT(ROUNDUP((E82*J82)/(M82*N82*O82),0)-Q82,"0")&amp;" luminaria(s)",IF((Q82*M82*N82*O82)/E82&gt;IF(IFERROR(VLOOKUP(D82,NBR!$C:$F,4,0),J82)=IFERROR(VLOOKUP(D82,NBR!$C:$D,2,0),J82),J82*1.2,IFERROR(VLOOKUP(D82,NBR!$C:$F,4,0),J82*1.2)),IF(Q82=1,"Reduzir potencia luminaria","RETIRAR -"&amp;TEXT(Q82-ROUNDUP((E82*IF(IFERROR(VLOOKUP(D82,NBR!$C:$F,4,0),J82)=J82,J82*1.2,IFERROR(VLOOKUP(D82,NBR!$C:$F,4,0),J82*1.2)))/(M82*N82*O82),0),"0")&amp;" luminaria(s)"),"OK")))</f>
        <v>#VALUE!</v>
      </c>
      <c r="V82" s="48" t="e">
        <f t="shared" si="6"/>
        <v>#VALUE!</v>
      </c>
      <c r="W82" s="57"/>
      <c r="X82" s="55"/>
      <c r="Y82" s="56"/>
      <c r="AA82" s="34"/>
      <c r="AB82" s="34"/>
      <c r="AC82" s="34"/>
      <c r="AD82" s="34"/>
    </row>
    <row r="83" spans="1:30" ht="18" customHeight="1" x14ac:dyDescent="0.25">
      <c r="A83" s="85"/>
      <c r="B83" s="85"/>
      <c r="C83" s="58"/>
      <c r="D83" s="59"/>
      <c r="E83" s="50" t="str">
        <f t="shared" si="5"/>
        <v/>
      </c>
      <c r="F83" s="50"/>
      <c r="G83" s="51"/>
      <c r="H83" s="51"/>
      <c r="I83" s="51"/>
      <c r="J83" s="44" t="str">
        <f>IFERROR(VLOOKUP(D83,NBR!$C:$E,3,0),"")</f>
        <v/>
      </c>
      <c r="K83" s="50" t="e">
        <f t="shared" si="10"/>
        <v>#VALUE!</v>
      </c>
      <c r="L83" s="82"/>
      <c r="M83" s="46" t="str">
        <f>IFERROR(VLOOKUP(L83,LAMPADAS!$A:$B,2,0),"")</f>
        <v/>
      </c>
      <c r="N83" s="51"/>
      <c r="O83" s="51"/>
      <c r="P83" s="50" t="str">
        <f t="shared" si="7"/>
        <v/>
      </c>
      <c r="Q83" s="31"/>
      <c r="R83" s="47" t="str">
        <f>IFERROR(VLOOKUP(L83,#REF!,4,0),"")</f>
        <v/>
      </c>
      <c r="S83" s="53" t="str">
        <f t="shared" si="8"/>
        <v/>
      </c>
      <c r="T83" s="54" t="e">
        <f t="shared" si="9"/>
        <v>#VALUE!</v>
      </c>
      <c r="U83" s="22" t="e">
        <f>IF(E83*J83*M83=0,"",IF((Q83*M83*N83*O83)/E83&lt;IF(IFERROR(VLOOKUP(D83,NBR!$C:$D,2,0),J83)=IFERROR(VLOOKUP(D83,NBR!$C:$F,4,0),J83),J83*0.9,IFERROR(VLOOKUP(D83,NBR!$C:$D,2,0),J83*0.9)),"COLOCAR +"&amp;TEXT(ROUNDUP((E83*J83)/(M83*N83*O83),0)-Q83,"0")&amp;" luminaria(s)",IF((Q83*M83*N83*O83)/E83&gt;IF(IFERROR(VLOOKUP(D83,NBR!$C:$F,4,0),J83)=IFERROR(VLOOKUP(D83,NBR!$C:$D,2,0),J83),J83*1.2,IFERROR(VLOOKUP(D83,NBR!$C:$F,4,0),J83*1.2)),IF(Q83=1,"Reduzir potencia luminaria","RETIRAR -"&amp;TEXT(Q83-ROUNDUP((E83*IF(IFERROR(VLOOKUP(D83,NBR!$C:$F,4,0),J83)=J83,J83*1.2,IFERROR(VLOOKUP(D83,NBR!$C:$F,4,0),J83*1.2)))/(M83*N83*O83),0),"0")&amp;" luminaria(s)"),"OK")))</f>
        <v>#VALUE!</v>
      </c>
      <c r="V83" s="52" t="e">
        <f t="shared" si="6"/>
        <v>#VALUE!</v>
      </c>
      <c r="W83" s="60"/>
      <c r="X83" s="60"/>
      <c r="Y83" s="60"/>
      <c r="AA83" s="61"/>
      <c r="AB83" s="34"/>
      <c r="AC83" s="34"/>
      <c r="AD83" s="34"/>
    </row>
    <row r="84" spans="1:30" ht="18" customHeight="1" x14ac:dyDescent="0.25">
      <c r="A84" s="86"/>
      <c r="B84" s="86"/>
      <c r="C84" s="83"/>
      <c r="D84" s="17"/>
      <c r="E84" s="43" t="str">
        <f t="shared" si="5"/>
        <v/>
      </c>
      <c r="F84" s="43"/>
      <c r="G84" s="27"/>
      <c r="H84" s="27"/>
      <c r="I84" s="27"/>
      <c r="J84" s="44" t="str">
        <f>IFERROR(VLOOKUP(D84,NBR!$C:$E,3,0),"")</f>
        <v/>
      </c>
      <c r="K84" s="43" t="e">
        <f t="shared" si="10"/>
        <v>#VALUE!</v>
      </c>
      <c r="L84" s="45"/>
      <c r="M84" s="46" t="str">
        <f>IFERROR(VLOOKUP(L84,LAMPADAS!$A:$B,2,0),"")</f>
        <v/>
      </c>
      <c r="N84" s="27"/>
      <c r="O84" s="27"/>
      <c r="P84" s="45" t="str">
        <f t="shared" si="7"/>
        <v/>
      </c>
      <c r="Q84" s="29"/>
      <c r="R84" s="47" t="str">
        <f>IFERROR(VLOOKUP(L84,#REF!,4,0),"")</f>
        <v/>
      </c>
      <c r="S84" s="48" t="str">
        <f t="shared" si="8"/>
        <v/>
      </c>
      <c r="T84" s="49" t="e">
        <f t="shared" si="9"/>
        <v>#VALUE!</v>
      </c>
      <c r="U84" s="17" t="e">
        <f>IF(E84*J84*M84=0,"",IF((Q84*M84*N84*O84)/E84&lt;IF(IFERROR(VLOOKUP(D84,NBR!$C:$D,2,0),J84)=IFERROR(VLOOKUP(D84,NBR!$C:$F,4,0),J84),J84*0.9,IFERROR(VLOOKUP(D84,NBR!$C:$D,2,0),J84*0.9)),"COLOCAR +"&amp;TEXT(ROUNDUP((E84*J84)/(M84*N84*O84),0)-Q84,"0")&amp;" luminaria(s)",IF((Q84*M84*N84*O84)/E84&gt;IF(IFERROR(VLOOKUP(D84,NBR!$C:$F,4,0),J84)=IFERROR(VLOOKUP(D84,NBR!$C:$D,2,0),J84),J84*1.2,IFERROR(VLOOKUP(D84,NBR!$C:$F,4,0),J84*1.2)),IF(Q84=1,"Reduzir potencia luminaria","RETIRAR -"&amp;TEXT(Q84-ROUNDUP((E84*IF(IFERROR(VLOOKUP(D84,NBR!$C:$F,4,0),J84)=J84,J84*1.2,IFERROR(VLOOKUP(D84,NBR!$C:$F,4,0),J84*1.2)))/(M84*N84*O84),0),"0")&amp;" luminaria(s)"),"OK")))</f>
        <v>#VALUE!</v>
      </c>
      <c r="V84" s="48" t="e">
        <f t="shared" si="6"/>
        <v>#VALUE!</v>
      </c>
      <c r="W84" s="57"/>
      <c r="X84" s="55"/>
      <c r="Y84" s="56"/>
      <c r="AA84" s="34"/>
      <c r="AB84" s="34"/>
      <c r="AC84" s="34"/>
      <c r="AD84" s="34"/>
    </row>
    <row r="85" spans="1:30" ht="18" customHeight="1" x14ac:dyDescent="0.25">
      <c r="A85" s="85"/>
      <c r="B85" s="85"/>
      <c r="C85" s="58"/>
      <c r="D85" s="59"/>
      <c r="E85" s="50" t="str">
        <f t="shared" si="5"/>
        <v/>
      </c>
      <c r="F85" s="50"/>
      <c r="G85" s="51"/>
      <c r="H85" s="51"/>
      <c r="I85" s="51"/>
      <c r="J85" s="44" t="str">
        <f>IFERROR(VLOOKUP(D85,NBR!$C:$E,3,0),"")</f>
        <v/>
      </c>
      <c r="K85" s="50" t="e">
        <f t="shared" si="10"/>
        <v>#VALUE!</v>
      </c>
      <c r="L85" s="82"/>
      <c r="M85" s="46" t="str">
        <f>IFERROR(VLOOKUP(L85,LAMPADAS!$A:$B,2,0),"")</f>
        <v/>
      </c>
      <c r="N85" s="51"/>
      <c r="O85" s="51"/>
      <c r="P85" s="50" t="str">
        <f t="shared" si="7"/>
        <v/>
      </c>
      <c r="Q85" s="31"/>
      <c r="R85" s="47" t="str">
        <f>IFERROR(VLOOKUP(L85,#REF!,4,0),"")</f>
        <v/>
      </c>
      <c r="S85" s="53" t="str">
        <f t="shared" si="8"/>
        <v/>
      </c>
      <c r="T85" s="54" t="e">
        <f t="shared" si="9"/>
        <v>#VALUE!</v>
      </c>
      <c r="U85" s="22" t="e">
        <f>IF(E85*J85*M85=0,"",IF((Q85*M85*N85*O85)/E85&lt;IF(IFERROR(VLOOKUP(D85,NBR!$C:$D,2,0),J85)=IFERROR(VLOOKUP(D85,NBR!$C:$F,4,0),J85),J85*0.9,IFERROR(VLOOKUP(D85,NBR!$C:$D,2,0),J85*0.9)),"COLOCAR +"&amp;TEXT(ROUNDUP((E85*J85)/(M85*N85*O85),0)-Q85,"0")&amp;" luminaria(s)",IF((Q85*M85*N85*O85)/E85&gt;IF(IFERROR(VLOOKUP(D85,NBR!$C:$F,4,0),J85)=IFERROR(VLOOKUP(D85,NBR!$C:$D,2,0),J85),J85*1.2,IFERROR(VLOOKUP(D85,NBR!$C:$F,4,0),J85*1.2)),IF(Q85=1,"Reduzir potencia luminaria","RETIRAR -"&amp;TEXT(Q85-ROUNDUP((E85*IF(IFERROR(VLOOKUP(D85,NBR!$C:$F,4,0),J85)=J85,J85*1.2,IFERROR(VLOOKUP(D85,NBR!$C:$F,4,0),J85*1.2)))/(M85*N85*O85),0),"0")&amp;" luminaria(s)"),"OK")))</f>
        <v>#VALUE!</v>
      </c>
      <c r="V85" s="52" t="e">
        <f t="shared" si="6"/>
        <v>#VALUE!</v>
      </c>
      <c r="W85" s="60"/>
      <c r="X85" s="60"/>
      <c r="Y85" s="60"/>
      <c r="AA85" s="61"/>
      <c r="AB85" s="34"/>
      <c r="AC85" s="34"/>
      <c r="AD85" s="34"/>
    </row>
    <row r="86" spans="1:30" ht="18" customHeight="1" x14ac:dyDescent="0.25">
      <c r="A86" s="86"/>
      <c r="B86" s="86"/>
      <c r="C86" s="83"/>
      <c r="D86" s="17"/>
      <c r="E86" s="43" t="str">
        <f t="shared" si="5"/>
        <v/>
      </c>
      <c r="F86" s="43"/>
      <c r="G86" s="27"/>
      <c r="H86" s="27"/>
      <c r="I86" s="27"/>
      <c r="J86" s="44" t="str">
        <f>IFERROR(VLOOKUP(D86,NBR!$C:$E,3,0),"")</f>
        <v/>
      </c>
      <c r="K86" s="43" t="e">
        <f t="shared" si="10"/>
        <v>#VALUE!</v>
      </c>
      <c r="L86" s="45"/>
      <c r="M86" s="46" t="str">
        <f>IFERROR(VLOOKUP(L86,LAMPADAS!$A:$B,2,0),"")</f>
        <v/>
      </c>
      <c r="N86" s="27"/>
      <c r="O86" s="27"/>
      <c r="P86" s="45" t="str">
        <f t="shared" si="7"/>
        <v/>
      </c>
      <c r="Q86" s="29"/>
      <c r="R86" s="47" t="str">
        <f>IFERROR(VLOOKUP(L86,#REF!,4,0),"")</f>
        <v/>
      </c>
      <c r="S86" s="48" t="str">
        <f t="shared" si="8"/>
        <v/>
      </c>
      <c r="T86" s="49" t="e">
        <f t="shared" si="9"/>
        <v>#VALUE!</v>
      </c>
      <c r="U86" s="17" t="e">
        <f>IF(E86*J86*M86=0,"",IF((Q86*M86*N86*O86)/E86&lt;IF(IFERROR(VLOOKUP(D86,NBR!$C:$D,2,0),J86)=IFERROR(VLOOKUP(D86,NBR!$C:$F,4,0),J86),J86*0.9,IFERROR(VLOOKUP(D86,NBR!$C:$D,2,0),J86*0.9)),"COLOCAR +"&amp;TEXT(ROUNDUP((E86*J86)/(M86*N86*O86),0)-Q86,"0")&amp;" luminaria(s)",IF((Q86*M86*N86*O86)/E86&gt;IF(IFERROR(VLOOKUP(D86,NBR!$C:$F,4,0),J86)=IFERROR(VLOOKUP(D86,NBR!$C:$D,2,0),J86),J86*1.2,IFERROR(VLOOKUP(D86,NBR!$C:$F,4,0),J86*1.2)),IF(Q86=1,"Reduzir potencia luminaria","RETIRAR -"&amp;TEXT(Q86-ROUNDUP((E86*IF(IFERROR(VLOOKUP(D86,NBR!$C:$F,4,0),J86)=J86,J86*1.2,IFERROR(VLOOKUP(D86,NBR!$C:$F,4,0),J86*1.2)))/(M86*N86*O86),0),"0")&amp;" luminaria(s)"),"OK")))</f>
        <v>#VALUE!</v>
      </c>
      <c r="V86" s="48" t="e">
        <f t="shared" si="6"/>
        <v>#VALUE!</v>
      </c>
      <c r="W86" s="57"/>
      <c r="X86" s="55"/>
      <c r="Y86" s="56"/>
      <c r="AA86" s="34"/>
      <c r="AB86" s="34"/>
      <c r="AC86" s="34"/>
      <c r="AD86" s="34"/>
    </row>
    <row r="87" spans="1:30" ht="18" customHeight="1" x14ac:dyDescent="0.25">
      <c r="A87" s="85"/>
      <c r="B87" s="85"/>
      <c r="C87" s="58"/>
      <c r="D87" s="59"/>
      <c r="E87" s="50" t="str">
        <f t="shared" si="5"/>
        <v/>
      </c>
      <c r="F87" s="50"/>
      <c r="G87" s="51"/>
      <c r="H87" s="51"/>
      <c r="I87" s="51"/>
      <c r="J87" s="44" t="str">
        <f>IFERROR(VLOOKUP(D87,NBR!$C:$E,3,0),"")</f>
        <v/>
      </c>
      <c r="K87" s="50" t="e">
        <f t="shared" si="10"/>
        <v>#VALUE!</v>
      </c>
      <c r="L87" s="82"/>
      <c r="M87" s="46" t="str">
        <f>IFERROR(VLOOKUP(L87,LAMPADAS!$A:$B,2,0),"")</f>
        <v/>
      </c>
      <c r="N87" s="51"/>
      <c r="O87" s="51"/>
      <c r="P87" s="50" t="str">
        <f t="shared" si="7"/>
        <v/>
      </c>
      <c r="Q87" s="31"/>
      <c r="R87" s="47" t="str">
        <f>IFERROR(VLOOKUP(L87,#REF!,4,0),"")</f>
        <v/>
      </c>
      <c r="S87" s="53" t="str">
        <f t="shared" si="8"/>
        <v/>
      </c>
      <c r="T87" s="54" t="e">
        <f t="shared" si="9"/>
        <v>#VALUE!</v>
      </c>
      <c r="U87" s="22" t="e">
        <f>IF(E87*J87*M87=0,"",IF((Q87*M87*N87*O87)/E87&lt;IF(IFERROR(VLOOKUP(D87,NBR!$C:$D,2,0),J87)=IFERROR(VLOOKUP(D87,NBR!$C:$F,4,0),J87),J87*0.9,IFERROR(VLOOKUP(D87,NBR!$C:$D,2,0),J87*0.9)),"COLOCAR +"&amp;TEXT(ROUNDUP((E87*J87)/(M87*N87*O87),0)-Q87,"0")&amp;" luminaria(s)",IF((Q87*M87*N87*O87)/E87&gt;IF(IFERROR(VLOOKUP(D87,NBR!$C:$F,4,0),J87)=IFERROR(VLOOKUP(D87,NBR!$C:$D,2,0),J87),J87*1.2,IFERROR(VLOOKUP(D87,NBR!$C:$F,4,0),J87*1.2)),IF(Q87=1,"Reduzir potencia luminaria","RETIRAR -"&amp;TEXT(Q87-ROUNDUP((E87*IF(IFERROR(VLOOKUP(D87,NBR!$C:$F,4,0),J87)=J87,J87*1.2,IFERROR(VLOOKUP(D87,NBR!$C:$F,4,0),J87*1.2)))/(M87*N87*O87),0),"0")&amp;" luminaria(s)"),"OK")))</f>
        <v>#VALUE!</v>
      </c>
      <c r="V87" s="52" t="e">
        <f t="shared" si="6"/>
        <v>#VALUE!</v>
      </c>
      <c r="W87" s="60"/>
      <c r="X87" s="60"/>
      <c r="Y87" s="60"/>
      <c r="AA87" s="61"/>
      <c r="AB87" s="34"/>
      <c r="AC87" s="34"/>
      <c r="AD87" s="34"/>
    </row>
    <row r="88" spans="1:30" ht="18" customHeight="1" x14ac:dyDescent="0.25">
      <c r="A88" s="86"/>
      <c r="B88" s="86"/>
      <c r="C88" s="83"/>
      <c r="D88" s="17"/>
      <c r="E88" s="43" t="str">
        <f t="shared" si="5"/>
        <v/>
      </c>
      <c r="F88" s="43"/>
      <c r="G88" s="27"/>
      <c r="H88" s="27"/>
      <c r="I88" s="27"/>
      <c r="J88" s="44" t="str">
        <f>IFERROR(VLOOKUP(D88,NBR!$C:$E,3,0),"")</f>
        <v/>
      </c>
      <c r="K88" s="43" t="e">
        <f t="shared" si="10"/>
        <v>#VALUE!</v>
      </c>
      <c r="L88" s="45"/>
      <c r="M88" s="46" t="str">
        <f>IFERROR(VLOOKUP(L88,LAMPADAS!$A:$B,2,0),"")</f>
        <v/>
      </c>
      <c r="N88" s="27"/>
      <c r="O88" s="27"/>
      <c r="P88" s="45" t="str">
        <f t="shared" si="7"/>
        <v/>
      </c>
      <c r="Q88" s="29"/>
      <c r="R88" s="47" t="str">
        <f>IFERROR(VLOOKUP(L88,#REF!,4,0),"")</f>
        <v/>
      </c>
      <c r="S88" s="48" t="str">
        <f t="shared" si="8"/>
        <v/>
      </c>
      <c r="T88" s="49" t="e">
        <f t="shared" si="9"/>
        <v>#VALUE!</v>
      </c>
      <c r="U88" s="17" t="e">
        <f>IF(E88*J88*M88=0,"",IF((Q88*M88*N88*O88)/E88&lt;IF(IFERROR(VLOOKUP(D88,NBR!$C:$D,2,0),J88)=IFERROR(VLOOKUP(D88,NBR!$C:$F,4,0),J88),J88*0.9,IFERROR(VLOOKUP(D88,NBR!$C:$D,2,0),J88*0.9)),"COLOCAR +"&amp;TEXT(ROUNDUP((E88*J88)/(M88*N88*O88),0)-Q88,"0")&amp;" luminaria(s)",IF((Q88*M88*N88*O88)/E88&gt;IF(IFERROR(VLOOKUP(D88,NBR!$C:$F,4,0),J88)=IFERROR(VLOOKUP(D88,NBR!$C:$D,2,0),J88),J88*1.2,IFERROR(VLOOKUP(D88,NBR!$C:$F,4,0),J88*1.2)),IF(Q88=1,"Reduzir potencia luminaria","RETIRAR -"&amp;TEXT(Q88-ROUNDUP((E88*IF(IFERROR(VLOOKUP(D88,NBR!$C:$F,4,0),J88)=J88,J88*1.2,IFERROR(VLOOKUP(D88,NBR!$C:$F,4,0),J88*1.2)))/(M88*N88*O88),0),"0")&amp;" luminaria(s)"),"OK")))</f>
        <v>#VALUE!</v>
      </c>
      <c r="V88" s="48" t="e">
        <f t="shared" si="6"/>
        <v>#VALUE!</v>
      </c>
      <c r="W88" s="57"/>
      <c r="X88" s="55"/>
      <c r="Y88" s="56"/>
      <c r="AA88" s="34"/>
      <c r="AB88" s="34"/>
      <c r="AC88" s="34"/>
      <c r="AD88" s="34"/>
    </row>
    <row r="89" spans="1:30" ht="18" customHeight="1" x14ac:dyDescent="0.25">
      <c r="A89" s="85"/>
      <c r="B89" s="85"/>
      <c r="C89" s="58"/>
      <c r="D89" s="59"/>
      <c r="E89" s="50" t="str">
        <f t="shared" si="5"/>
        <v/>
      </c>
      <c r="F89" s="50"/>
      <c r="G89" s="51"/>
      <c r="H89" s="51"/>
      <c r="I89" s="51"/>
      <c r="J89" s="44" t="str">
        <f>IFERROR(VLOOKUP(D89,NBR!$C:$E,3,0),"")</f>
        <v/>
      </c>
      <c r="K89" s="50" t="e">
        <f t="shared" si="10"/>
        <v>#VALUE!</v>
      </c>
      <c r="L89" s="82"/>
      <c r="M89" s="46" t="str">
        <f>IFERROR(VLOOKUP(L89,LAMPADAS!$A:$B,2,0),"")</f>
        <v/>
      </c>
      <c r="N89" s="51"/>
      <c r="O89" s="51"/>
      <c r="P89" s="50" t="str">
        <f t="shared" si="7"/>
        <v/>
      </c>
      <c r="Q89" s="31"/>
      <c r="R89" s="47" t="str">
        <f>IFERROR(VLOOKUP(L89,#REF!,4,0),"")</f>
        <v/>
      </c>
      <c r="S89" s="53" t="str">
        <f t="shared" si="8"/>
        <v/>
      </c>
      <c r="T89" s="54" t="e">
        <f t="shared" si="9"/>
        <v>#VALUE!</v>
      </c>
      <c r="U89" s="22" t="e">
        <f>IF(E89*J89*M89=0,"",IF((Q89*M89*N89*O89)/E89&lt;IF(IFERROR(VLOOKUP(D89,NBR!$C:$D,2,0),J89)=IFERROR(VLOOKUP(D89,NBR!$C:$F,4,0),J89),J89*0.9,IFERROR(VLOOKUP(D89,NBR!$C:$D,2,0),J89*0.9)),"COLOCAR +"&amp;TEXT(ROUNDUP((E89*J89)/(M89*N89*O89),0)-Q89,"0")&amp;" luminaria(s)",IF((Q89*M89*N89*O89)/E89&gt;IF(IFERROR(VLOOKUP(D89,NBR!$C:$F,4,0),J89)=IFERROR(VLOOKUP(D89,NBR!$C:$D,2,0),J89),J89*1.2,IFERROR(VLOOKUP(D89,NBR!$C:$F,4,0),J89*1.2)),IF(Q89=1,"Reduzir potencia luminaria","RETIRAR -"&amp;TEXT(Q89-ROUNDUP((E89*IF(IFERROR(VLOOKUP(D89,NBR!$C:$F,4,0),J89)=J89,J89*1.2,IFERROR(VLOOKUP(D89,NBR!$C:$F,4,0),J89*1.2)))/(M89*N89*O89),0),"0")&amp;" luminaria(s)"),"OK")))</f>
        <v>#VALUE!</v>
      </c>
      <c r="V89" s="52" t="e">
        <f t="shared" si="6"/>
        <v>#VALUE!</v>
      </c>
      <c r="W89" s="60"/>
      <c r="X89" s="60"/>
      <c r="Y89" s="60"/>
      <c r="AA89" s="61"/>
      <c r="AB89" s="34"/>
      <c r="AC89" s="34"/>
      <c r="AD89" s="34"/>
    </row>
    <row r="90" spans="1:30" ht="18" customHeight="1" x14ac:dyDescent="0.25">
      <c r="A90" s="86"/>
      <c r="B90" s="86"/>
      <c r="C90" s="83"/>
      <c r="D90" s="17"/>
      <c r="E90" s="43" t="str">
        <f t="shared" si="5"/>
        <v/>
      </c>
      <c r="F90" s="43"/>
      <c r="G90" s="27"/>
      <c r="H90" s="27"/>
      <c r="I90" s="27"/>
      <c r="J90" s="44" t="str">
        <f>IFERROR(VLOOKUP(D90,NBR!$C:$E,3,0),"")</f>
        <v/>
      </c>
      <c r="K90" s="43" t="e">
        <f t="shared" si="10"/>
        <v>#VALUE!</v>
      </c>
      <c r="L90" s="45"/>
      <c r="M90" s="46" t="str">
        <f>IFERROR(VLOOKUP(L90,LAMPADAS!$A:$B,2,0),"")</f>
        <v/>
      </c>
      <c r="N90" s="27"/>
      <c r="O90" s="27"/>
      <c r="P90" s="45" t="str">
        <f t="shared" si="7"/>
        <v/>
      </c>
      <c r="Q90" s="29"/>
      <c r="R90" s="47" t="str">
        <f>IFERROR(VLOOKUP(L90,#REF!,4,0),"")</f>
        <v/>
      </c>
      <c r="S90" s="48" t="str">
        <f t="shared" si="8"/>
        <v/>
      </c>
      <c r="T90" s="49" t="e">
        <f t="shared" si="9"/>
        <v>#VALUE!</v>
      </c>
      <c r="U90" s="17" t="e">
        <f>IF(E90*J90*M90=0,"",IF((Q90*M90*N90*O90)/E90&lt;IF(IFERROR(VLOOKUP(D90,NBR!$C:$D,2,0),J90)=IFERROR(VLOOKUP(D90,NBR!$C:$F,4,0),J90),J90*0.9,IFERROR(VLOOKUP(D90,NBR!$C:$D,2,0),J90*0.9)),"COLOCAR +"&amp;TEXT(ROUNDUP((E90*J90)/(M90*N90*O90),0)-Q90,"0")&amp;" luminaria(s)",IF((Q90*M90*N90*O90)/E90&gt;IF(IFERROR(VLOOKUP(D90,NBR!$C:$F,4,0),J90)=IFERROR(VLOOKUP(D90,NBR!$C:$D,2,0),J90),J90*1.2,IFERROR(VLOOKUP(D90,NBR!$C:$F,4,0),J90*1.2)),IF(Q90=1,"Reduzir potencia luminaria","RETIRAR -"&amp;TEXT(Q90-ROUNDUP((E90*IF(IFERROR(VLOOKUP(D90,NBR!$C:$F,4,0),J90)=J90,J90*1.2,IFERROR(VLOOKUP(D90,NBR!$C:$F,4,0),J90*1.2)))/(M90*N90*O90),0),"0")&amp;" luminaria(s)"),"OK")))</f>
        <v>#VALUE!</v>
      </c>
      <c r="V90" s="48" t="e">
        <f t="shared" si="6"/>
        <v>#VALUE!</v>
      </c>
      <c r="W90" s="57"/>
      <c r="X90" s="55"/>
      <c r="Y90" s="56"/>
      <c r="AA90" s="34"/>
      <c r="AB90" s="34"/>
      <c r="AC90" s="34"/>
      <c r="AD90" s="34"/>
    </row>
    <row r="91" spans="1:30" ht="18" customHeight="1" x14ac:dyDescent="0.25">
      <c r="A91" s="85"/>
      <c r="B91" s="85"/>
      <c r="C91" s="58"/>
      <c r="D91" s="59"/>
      <c r="E91" s="50" t="str">
        <f t="shared" si="5"/>
        <v/>
      </c>
      <c r="F91" s="50"/>
      <c r="G91" s="51"/>
      <c r="H91" s="51"/>
      <c r="I91" s="51"/>
      <c r="J91" s="44" t="str">
        <f>IFERROR(VLOOKUP(D91,NBR!$C:$E,3,0),"")</f>
        <v/>
      </c>
      <c r="K91" s="50" t="e">
        <f t="shared" si="10"/>
        <v>#VALUE!</v>
      </c>
      <c r="L91" s="82"/>
      <c r="M91" s="46" t="str">
        <f>IFERROR(VLOOKUP(L91,LAMPADAS!$A:$B,2,0),"")</f>
        <v/>
      </c>
      <c r="N91" s="51"/>
      <c r="O91" s="51"/>
      <c r="P91" s="50" t="str">
        <f t="shared" si="7"/>
        <v/>
      </c>
      <c r="Q91" s="31"/>
      <c r="R91" s="47" t="str">
        <f>IFERROR(VLOOKUP(L91,#REF!,4,0),"")</f>
        <v/>
      </c>
      <c r="S91" s="53" t="str">
        <f t="shared" si="8"/>
        <v/>
      </c>
      <c r="T91" s="54" t="e">
        <f t="shared" si="9"/>
        <v>#VALUE!</v>
      </c>
      <c r="U91" s="22" t="e">
        <f>IF(E91*J91*M91=0,"",IF((Q91*M91*N91*O91)/E91&lt;IF(IFERROR(VLOOKUP(D91,NBR!$C:$D,2,0),J91)=IFERROR(VLOOKUP(D91,NBR!$C:$F,4,0),J91),J91*0.9,IFERROR(VLOOKUP(D91,NBR!$C:$D,2,0),J91*0.9)),"COLOCAR +"&amp;TEXT(ROUNDUP((E91*J91)/(M91*N91*O91),0)-Q91,"0")&amp;" luminaria(s)",IF((Q91*M91*N91*O91)/E91&gt;IF(IFERROR(VLOOKUP(D91,NBR!$C:$F,4,0),J91)=IFERROR(VLOOKUP(D91,NBR!$C:$D,2,0),J91),J91*1.2,IFERROR(VLOOKUP(D91,NBR!$C:$F,4,0),J91*1.2)),IF(Q91=1,"Reduzir potencia luminaria","RETIRAR -"&amp;TEXT(Q91-ROUNDUP((E91*IF(IFERROR(VLOOKUP(D91,NBR!$C:$F,4,0),J91)=J91,J91*1.2,IFERROR(VLOOKUP(D91,NBR!$C:$F,4,0),J91*1.2)))/(M91*N91*O91),0),"0")&amp;" luminaria(s)"),"OK")))</f>
        <v>#VALUE!</v>
      </c>
      <c r="V91" s="52" t="e">
        <f t="shared" si="6"/>
        <v>#VALUE!</v>
      </c>
      <c r="W91" s="60"/>
      <c r="X91" s="60"/>
      <c r="Y91" s="60"/>
      <c r="AA91" s="61"/>
      <c r="AB91" s="34"/>
      <c r="AC91" s="34"/>
      <c r="AD91" s="34"/>
    </row>
    <row r="92" spans="1:30" ht="18" customHeight="1" x14ac:dyDescent="0.25">
      <c r="A92" s="86"/>
      <c r="B92" s="86"/>
      <c r="C92" s="83"/>
      <c r="D92" s="17"/>
      <c r="E92" s="43" t="str">
        <f t="shared" si="5"/>
        <v/>
      </c>
      <c r="F92" s="43"/>
      <c r="G92" s="27"/>
      <c r="H92" s="27"/>
      <c r="I92" s="27"/>
      <c r="J92" s="44" t="str">
        <f>IFERROR(VLOOKUP(D92,NBR!$C:$E,3,0),"")</f>
        <v/>
      </c>
      <c r="K92" s="43" t="e">
        <f t="shared" si="10"/>
        <v>#VALUE!</v>
      </c>
      <c r="L92" s="45"/>
      <c r="M92" s="46" t="str">
        <f>IFERROR(VLOOKUP(L92,LAMPADAS!$A:$B,2,0),"")</f>
        <v/>
      </c>
      <c r="N92" s="27"/>
      <c r="O92" s="27"/>
      <c r="P92" s="45" t="str">
        <f t="shared" si="7"/>
        <v/>
      </c>
      <c r="Q92" s="29"/>
      <c r="R92" s="47" t="str">
        <f>IFERROR(VLOOKUP(L92,#REF!,4,0),"")</f>
        <v/>
      </c>
      <c r="S92" s="48" t="str">
        <f t="shared" si="8"/>
        <v/>
      </c>
      <c r="T92" s="49" t="e">
        <f t="shared" si="9"/>
        <v>#VALUE!</v>
      </c>
      <c r="U92" s="17" t="e">
        <f>IF(E92*J92*M92=0,"",IF((Q92*M92*N92*O92)/E92&lt;IF(IFERROR(VLOOKUP(D92,NBR!$C:$D,2,0),J92)=IFERROR(VLOOKUP(D92,NBR!$C:$F,4,0),J92),J92*0.9,IFERROR(VLOOKUP(D92,NBR!$C:$D,2,0),J92*0.9)),"COLOCAR +"&amp;TEXT(ROUNDUP((E92*J92)/(M92*N92*O92),0)-Q92,"0")&amp;" luminaria(s)",IF((Q92*M92*N92*O92)/E92&gt;IF(IFERROR(VLOOKUP(D92,NBR!$C:$F,4,0),J92)=IFERROR(VLOOKUP(D92,NBR!$C:$D,2,0),J92),J92*1.2,IFERROR(VLOOKUP(D92,NBR!$C:$F,4,0),J92*1.2)),IF(Q92=1,"Reduzir potencia luminaria","RETIRAR -"&amp;TEXT(Q92-ROUNDUP((E92*IF(IFERROR(VLOOKUP(D92,NBR!$C:$F,4,0),J92)=J92,J92*1.2,IFERROR(VLOOKUP(D92,NBR!$C:$F,4,0),J92*1.2)))/(M92*N92*O92),0),"0")&amp;" luminaria(s)"),"OK")))</f>
        <v>#VALUE!</v>
      </c>
      <c r="V92" s="48" t="e">
        <f t="shared" si="6"/>
        <v>#VALUE!</v>
      </c>
      <c r="W92" s="57"/>
      <c r="X92" s="55"/>
      <c r="Y92" s="56"/>
      <c r="AA92" s="34"/>
      <c r="AB92" s="34"/>
      <c r="AC92" s="34"/>
      <c r="AD92" s="34"/>
    </row>
    <row r="93" spans="1:30" ht="18" customHeight="1" x14ac:dyDescent="0.25">
      <c r="A93" s="85"/>
      <c r="B93" s="85"/>
      <c r="C93" s="58"/>
      <c r="D93" s="59"/>
      <c r="E93" s="50" t="str">
        <f t="shared" ref="E93:E156" si="11">IF(G93*H93=0,"",ROUND(G93*H93,2))</f>
        <v/>
      </c>
      <c r="F93" s="50"/>
      <c r="G93" s="51"/>
      <c r="H93" s="51"/>
      <c r="I93" s="51"/>
      <c r="J93" s="44" t="str">
        <f>IFERROR(VLOOKUP(D93,NBR!$C:$E,3,0),"")</f>
        <v/>
      </c>
      <c r="K93" s="50" t="e">
        <f t="shared" si="10"/>
        <v>#VALUE!</v>
      </c>
      <c r="L93" s="82"/>
      <c r="M93" s="46" t="str">
        <f>IFERROR(VLOOKUP(L93,LAMPADAS!$A:$B,2,0),"")</f>
        <v/>
      </c>
      <c r="N93" s="51"/>
      <c r="O93" s="51"/>
      <c r="P93" s="50" t="str">
        <f t="shared" si="7"/>
        <v/>
      </c>
      <c r="Q93" s="31"/>
      <c r="R93" s="47" t="str">
        <f>IFERROR(VLOOKUP(L93,#REF!,4,0),"")</f>
        <v/>
      </c>
      <c r="S93" s="53" t="str">
        <f t="shared" si="8"/>
        <v/>
      </c>
      <c r="T93" s="54" t="e">
        <f t="shared" si="9"/>
        <v>#VALUE!</v>
      </c>
      <c r="U93" s="22" t="e">
        <f>IF(E93*J93*M93=0,"",IF((Q93*M93*N93*O93)/E93&lt;IF(IFERROR(VLOOKUP(D93,NBR!$C:$D,2,0),J93)=IFERROR(VLOOKUP(D93,NBR!$C:$F,4,0),J93),J93*0.9,IFERROR(VLOOKUP(D93,NBR!$C:$D,2,0),J93*0.9)),"COLOCAR +"&amp;TEXT(ROUNDUP((E93*J93)/(M93*N93*O93),0)-Q93,"0")&amp;" luminaria(s)",IF((Q93*M93*N93*O93)/E93&gt;IF(IFERROR(VLOOKUP(D93,NBR!$C:$F,4,0),J93)=IFERROR(VLOOKUP(D93,NBR!$C:$D,2,0),J93),J93*1.2,IFERROR(VLOOKUP(D93,NBR!$C:$F,4,0),J93*1.2)),IF(Q93=1,"Reduzir potencia luminaria","RETIRAR -"&amp;TEXT(Q93-ROUNDUP((E93*IF(IFERROR(VLOOKUP(D93,NBR!$C:$F,4,0),J93)=J93,J93*1.2,IFERROR(VLOOKUP(D93,NBR!$C:$F,4,0),J93*1.2)))/(M93*N93*O93),0),"0")&amp;" luminaria(s)"),"OK")))</f>
        <v>#VALUE!</v>
      </c>
      <c r="V93" s="52" t="e">
        <f t="shared" si="6"/>
        <v>#VALUE!</v>
      </c>
      <c r="W93" s="60"/>
      <c r="X93" s="60"/>
      <c r="Y93" s="60"/>
      <c r="AA93" s="61"/>
      <c r="AB93" s="34"/>
      <c r="AC93" s="34"/>
      <c r="AD93" s="34"/>
    </row>
    <row r="94" spans="1:30" ht="18" customHeight="1" x14ac:dyDescent="0.25">
      <c r="A94" s="86"/>
      <c r="B94" s="86"/>
      <c r="C94" s="83"/>
      <c r="D94" s="17"/>
      <c r="E94" s="43" t="str">
        <f t="shared" si="11"/>
        <v/>
      </c>
      <c r="F94" s="43"/>
      <c r="G94" s="27"/>
      <c r="H94" s="27"/>
      <c r="I94" s="27"/>
      <c r="J94" s="44" t="str">
        <f>IFERROR(VLOOKUP(D94,NBR!$C:$E,3,0),"")</f>
        <v/>
      </c>
      <c r="K94" s="43" t="e">
        <f t="shared" si="10"/>
        <v>#VALUE!</v>
      </c>
      <c r="L94" s="45"/>
      <c r="M94" s="46" t="str">
        <f>IFERROR(VLOOKUP(L94,LAMPADAS!$A:$B,2,0),"")</f>
        <v/>
      </c>
      <c r="N94" s="27"/>
      <c r="O94" s="27"/>
      <c r="P94" s="45" t="str">
        <f t="shared" si="7"/>
        <v/>
      </c>
      <c r="Q94" s="29"/>
      <c r="R94" s="47" t="str">
        <f>IFERROR(VLOOKUP(L94,#REF!,4,0),"")</f>
        <v/>
      </c>
      <c r="S94" s="48" t="str">
        <f t="shared" si="8"/>
        <v/>
      </c>
      <c r="T94" s="49" t="e">
        <f t="shared" si="9"/>
        <v>#VALUE!</v>
      </c>
      <c r="U94" s="17" t="e">
        <f>IF(E94*J94*M94=0,"",IF((Q94*M94*N94*O94)/E94&lt;IF(IFERROR(VLOOKUP(D94,NBR!$C:$D,2,0),J94)=IFERROR(VLOOKUP(D94,NBR!$C:$F,4,0),J94),J94*0.9,IFERROR(VLOOKUP(D94,NBR!$C:$D,2,0),J94*0.9)),"COLOCAR +"&amp;TEXT(ROUNDUP((E94*J94)/(M94*N94*O94),0)-Q94,"0")&amp;" luminaria(s)",IF((Q94*M94*N94*O94)/E94&gt;IF(IFERROR(VLOOKUP(D94,NBR!$C:$F,4,0),J94)=IFERROR(VLOOKUP(D94,NBR!$C:$D,2,0),J94),J94*1.2,IFERROR(VLOOKUP(D94,NBR!$C:$F,4,0),J94*1.2)),IF(Q94=1,"Reduzir potencia luminaria","RETIRAR -"&amp;TEXT(Q94-ROUNDUP((E94*IF(IFERROR(VLOOKUP(D94,NBR!$C:$F,4,0),J94)=J94,J94*1.2,IFERROR(VLOOKUP(D94,NBR!$C:$F,4,0),J94*1.2)))/(M94*N94*O94),0),"0")&amp;" luminaria(s)"),"OK")))</f>
        <v>#VALUE!</v>
      </c>
      <c r="V94" s="48" t="e">
        <f t="shared" si="6"/>
        <v>#VALUE!</v>
      </c>
      <c r="W94" s="57"/>
      <c r="X94" s="55"/>
      <c r="Y94" s="56"/>
      <c r="AA94" s="34"/>
      <c r="AB94" s="34"/>
      <c r="AC94" s="34"/>
      <c r="AD94" s="34"/>
    </row>
    <row r="95" spans="1:30" ht="18" customHeight="1" x14ac:dyDescent="0.25">
      <c r="A95" s="85"/>
      <c r="B95" s="85"/>
      <c r="C95" s="58"/>
      <c r="D95" s="59"/>
      <c r="E95" s="50" t="str">
        <f t="shared" si="11"/>
        <v/>
      </c>
      <c r="F95" s="50"/>
      <c r="G95" s="51"/>
      <c r="H95" s="51"/>
      <c r="I95" s="51"/>
      <c r="J95" s="44" t="str">
        <f>IFERROR(VLOOKUP(D95,NBR!$C:$E,3,0),"")</f>
        <v/>
      </c>
      <c r="K95" s="50" t="e">
        <f t="shared" si="10"/>
        <v>#VALUE!</v>
      </c>
      <c r="L95" s="82"/>
      <c r="M95" s="46" t="str">
        <f>IFERROR(VLOOKUP(L95,LAMPADAS!$A:$B,2,0),"")</f>
        <v/>
      </c>
      <c r="N95" s="51"/>
      <c r="O95" s="51"/>
      <c r="P95" s="50" t="str">
        <f t="shared" si="7"/>
        <v/>
      </c>
      <c r="Q95" s="31"/>
      <c r="R95" s="47" t="str">
        <f>IFERROR(VLOOKUP(L95,#REF!,4,0),"")</f>
        <v/>
      </c>
      <c r="S95" s="53" t="str">
        <f t="shared" si="8"/>
        <v/>
      </c>
      <c r="T95" s="54" t="e">
        <f t="shared" si="9"/>
        <v>#VALUE!</v>
      </c>
      <c r="U95" s="22" t="e">
        <f>IF(E95*J95*M95=0,"",IF((Q95*M95*N95*O95)/E95&lt;IF(IFERROR(VLOOKUP(D95,NBR!$C:$D,2,0),J95)=IFERROR(VLOOKUP(D95,NBR!$C:$F,4,0),J95),J95*0.9,IFERROR(VLOOKUP(D95,NBR!$C:$D,2,0),J95*0.9)),"COLOCAR +"&amp;TEXT(ROUNDUP((E95*J95)/(M95*N95*O95),0)-Q95,"0")&amp;" luminaria(s)",IF((Q95*M95*N95*O95)/E95&gt;IF(IFERROR(VLOOKUP(D95,NBR!$C:$F,4,0),J95)=IFERROR(VLOOKUP(D95,NBR!$C:$D,2,0),J95),J95*1.2,IFERROR(VLOOKUP(D95,NBR!$C:$F,4,0),J95*1.2)),IF(Q95=1,"Reduzir potencia luminaria","RETIRAR -"&amp;TEXT(Q95-ROUNDUP((E95*IF(IFERROR(VLOOKUP(D95,NBR!$C:$F,4,0),J95)=J95,J95*1.2,IFERROR(VLOOKUP(D95,NBR!$C:$F,4,0),J95*1.2)))/(M95*N95*O95),0),"0")&amp;" luminaria(s)"),"OK")))</f>
        <v>#VALUE!</v>
      </c>
      <c r="V95" s="52" t="e">
        <f t="shared" si="6"/>
        <v>#VALUE!</v>
      </c>
      <c r="W95" s="60"/>
      <c r="X95" s="60"/>
      <c r="Y95" s="60"/>
      <c r="AA95" s="61"/>
      <c r="AB95" s="34"/>
      <c r="AC95" s="34"/>
      <c r="AD95" s="34"/>
    </row>
    <row r="96" spans="1:30" ht="18" customHeight="1" x14ac:dyDescent="0.25">
      <c r="A96" s="86"/>
      <c r="B96" s="86"/>
      <c r="C96" s="83"/>
      <c r="D96" s="17"/>
      <c r="E96" s="43" t="str">
        <f t="shared" si="11"/>
        <v/>
      </c>
      <c r="F96" s="43"/>
      <c r="G96" s="27"/>
      <c r="H96" s="27"/>
      <c r="I96" s="27"/>
      <c r="J96" s="44" t="str">
        <f>IFERROR(VLOOKUP(D96,NBR!$C:$E,3,0),"")</f>
        <v/>
      </c>
      <c r="K96" s="43" t="e">
        <f t="shared" si="10"/>
        <v>#VALUE!</v>
      </c>
      <c r="L96" s="45"/>
      <c r="M96" s="46" t="str">
        <f>IFERROR(VLOOKUP(L96,LAMPADAS!$A:$B,2,0),"")</f>
        <v/>
      </c>
      <c r="N96" s="27"/>
      <c r="O96" s="27"/>
      <c r="P96" s="45" t="str">
        <f t="shared" si="7"/>
        <v/>
      </c>
      <c r="Q96" s="29"/>
      <c r="R96" s="47" t="str">
        <f>IFERROR(VLOOKUP(L96,#REF!,4,0),"")</f>
        <v/>
      </c>
      <c r="S96" s="48" t="str">
        <f t="shared" si="8"/>
        <v/>
      </c>
      <c r="T96" s="49" t="e">
        <f t="shared" si="9"/>
        <v>#VALUE!</v>
      </c>
      <c r="U96" s="17" t="e">
        <f>IF(E96*J96*M96=0,"",IF((Q96*M96*N96*O96)/E96&lt;IF(IFERROR(VLOOKUP(D96,NBR!$C:$D,2,0),J96)=IFERROR(VLOOKUP(D96,NBR!$C:$F,4,0),J96),J96*0.9,IFERROR(VLOOKUP(D96,NBR!$C:$D,2,0),J96*0.9)),"COLOCAR +"&amp;TEXT(ROUNDUP((E96*J96)/(M96*N96*O96),0)-Q96,"0")&amp;" luminaria(s)",IF((Q96*M96*N96*O96)/E96&gt;IF(IFERROR(VLOOKUP(D96,NBR!$C:$F,4,0),J96)=IFERROR(VLOOKUP(D96,NBR!$C:$D,2,0),J96),J96*1.2,IFERROR(VLOOKUP(D96,NBR!$C:$F,4,0),J96*1.2)),IF(Q96=1,"Reduzir potencia luminaria","RETIRAR -"&amp;TEXT(Q96-ROUNDUP((E96*IF(IFERROR(VLOOKUP(D96,NBR!$C:$F,4,0),J96)=J96,J96*1.2,IFERROR(VLOOKUP(D96,NBR!$C:$F,4,0),J96*1.2)))/(M96*N96*O96),0),"0")&amp;" luminaria(s)"),"OK")))</f>
        <v>#VALUE!</v>
      </c>
      <c r="V96" s="48" t="e">
        <f t="shared" si="6"/>
        <v>#VALUE!</v>
      </c>
      <c r="W96" s="57"/>
      <c r="X96" s="55"/>
      <c r="Y96" s="56"/>
      <c r="AA96" s="34"/>
      <c r="AB96" s="34"/>
      <c r="AC96" s="34"/>
      <c r="AD96" s="34"/>
    </row>
    <row r="97" spans="1:30" ht="18" customHeight="1" x14ac:dyDescent="0.25">
      <c r="A97" s="85"/>
      <c r="B97" s="85"/>
      <c r="C97" s="58"/>
      <c r="D97" s="59"/>
      <c r="E97" s="50" t="str">
        <f t="shared" si="11"/>
        <v/>
      </c>
      <c r="F97" s="50"/>
      <c r="G97" s="51"/>
      <c r="H97" s="51"/>
      <c r="I97" s="51"/>
      <c r="J97" s="44" t="str">
        <f>IFERROR(VLOOKUP(D97,NBR!$C:$E,3,0),"")</f>
        <v/>
      </c>
      <c r="K97" s="50" t="e">
        <f t="shared" si="10"/>
        <v>#VALUE!</v>
      </c>
      <c r="L97" s="82"/>
      <c r="M97" s="46" t="str">
        <f>IFERROR(VLOOKUP(L97,LAMPADAS!$A:$B,2,0),"")</f>
        <v/>
      </c>
      <c r="N97" s="51"/>
      <c r="O97" s="51"/>
      <c r="P97" s="50" t="str">
        <f t="shared" si="7"/>
        <v/>
      </c>
      <c r="Q97" s="31"/>
      <c r="R97" s="47" t="str">
        <f>IFERROR(VLOOKUP(L97,#REF!,4,0),"")</f>
        <v/>
      </c>
      <c r="S97" s="53" t="str">
        <f t="shared" si="8"/>
        <v/>
      </c>
      <c r="T97" s="54" t="e">
        <f t="shared" si="9"/>
        <v>#VALUE!</v>
      </c>
      <c r="U97" s="22" t="e">
        <f>IF(E97*J97*M97=0,"",IF((Q97*M97*N97*O97)/E97&lt;IF(IFERROR(VLOOKUP(D97,NBR!$C:$D,2,0),J97)=IFERROR(VLOOKUP(D97,NBR!$C:$F,4,0),J97),J97*0.9,IFERROR(VLOOKUP(D97,NBR!$C:$D,2,0),J97*0.9)),"COLOCAR +"&amp;TEXT(ROUNDUP((E97*J97)/(M97*N97*O97),0)-Q97,"0")&amp;" luminaria(s)",IF((Q97*M97*N97*O97)/E97&gt;IF(IFERROR(VLOOKUP(D97,NBR!$C:$F,4,0),J97)=IFERROR(VLOOKUP(D97,NBR!$C:$D,2,0),J97),J97*1.2,IFERROR(VLOOKUP(D97,NBR!$C:$F,4,0),J97*1.2)),IF(Q97=1,"Reduzir potencia luminaria","RETIRAR -"&amp;TEXT(Q97-ROUNDUP((E97*IF(IFERROR(VLOOKUP(D97,NBR!$C:$F,4,0),J97)=J97,J97*1.2,IFERROR(VLOOKUP(D97,NBR!$C:$F,4,0),J97*1.2)))/(M97*N97*O97),0),"0")&amp;" luminaria(s)"),"OK")))</f>
        <v>#VALUE!</v>
      </c>
      <c r="V97" s="52" t="e">
        <f t="shared" si="6"/>
        <v>#VALUE!</v>
      </c>
      <c r="W97" s="60"/>
      <c r="X97" s="60"/>
      <c r="Y97" s="60"/>
      <c r="AA97" s="61"/>
      <c r="AB97" s="34"/>
      <c r="AC97" s="34"/>
      <c r="AD97" s="34"/>
    </row>
    <row r="98" spans="1:30" ht="18" customHeight="1" x14ac:dyDescent="0.25">
      <c r="A98" s="86"/>
      <c r="B98" s="86"/>
      <c r="C98" s="83"/>
      <c r="D98" s="17"/>
      <c r="E98" s="43" t="str">
        <f t="shared" si="11"/>
        <v/>
      </c>
      <c r="F98" s="43"/>
      <c r="G98" s="27"/>
      <c r="H98" s="27"/>
      <c r="I98" s="27"/>
      <c r="J98" s="44" t="str">
        <f>IFERROR(VLOOKUP(D98,NBR!$C:$E,3,0),"")</f>
        <v/>
      </c>
      <c r="K98" s="43" t="e">
        <f t="shared" si="10"/>
        <v>#VALUE!</v>
      </c>
      <c r="L98" s="45"/>
      <c r="M98" s="46" t="str">
        <f>IFERROR(VLOOKUP(L98,LAMPADAS!$A:$B,2,0),"")</f>
        <v/>
      </c>
      <c r="N98" s="27"/>
      <c r="O98" s="27"/>
      <c r="P98" s="45" t="str">
        <f t="shared" si="7"/>
        <v/>
      </c>
      <c r="Q98" s="29"/>
      <c r="R98" s="47" t="str">
        <f>IFERROR(VLOOKUP(L98,#REF!,4,0),"")</f>
        <v/>
      </c>
      <c r="S98" s="48" t="str">
        <f t="shared" si="8"/>
        <v/>
      </c>
      <c r="T98" s="49" t="e">
        <f t="shared" si="9"/>
        <v>#VALUE!</v>
      </c>
      <c r="U98" s="17" t="e">
        <f>IF(E98*J98*M98=0,"",IF((Q98*M98*N98*O98)/E98&lt;IF(IFERROR(VLOOKUP(D98,NBR!$C:$D,2,0),J98)=IFERROR(VLOOKUP(D98,NBR!$C:$F,4,0),J98),J98*0.9,IFERROR(VLOOKUP(D98,NBR!$C:$D,2,0),J98*0.9)),"COLOCAR +"&amp;TEXT(ROUNDUP((E98*J98)/(M98*N98*O98),0)-Q98,"0")&amp;" luminaria(s)",IF((Q98*M98*N98*O98)/E98&gt;IF(IFERROR(VLOOKUP(D98,NBR!$C:$F,4,0),J98)=IFERROR(VLOOKUP(D98,NBR!$C:$D,2,0),J98),J98*1.2,IFERROR(VLOOKUP(D98,NBR!$C:$F,4,0),J98*1.2)),IF(Q98=1,"Reduzir potencia luminaria","RETIRAR -"&amp;TEXT(Q98-ROUNDUP((E98*IF(IFERROR(VLOOKUP(D98,NBR!$C:$F,4,0),J98)=J98,J98*1.2,IFERROR(VLOOKUP(D98,NBR!$C:$F,4,0),J98*1.2)))/(M98*N98*O98),0),"0")&amp;" luminaria(s)"),"OK")))</f>
        <v>#VALUE!</v>
      </c>
      <c r="V98" s="48" t="e">
        <f t="shared" si="6"/>
        <v>#VALUE!</v>
      </c>
      <c r="W98" s="57"/>
      <c r="X98" s="55"/>
      <c r="Y98" s="56"/>
      <c r="AA98" s="34"/>
      <c r="AB98" s="34"/>
      <c r="AC98" s="34"/>
      <c r="AD98" s="34"/>
    </row>
    <row r="99" spans="1:30" ht="18" customHeight="1" x14ac:dyDescent="0.25">
      <c r="A99" s="85"/>
      <c r="B99" s="85"/>
      <c r="C99" s="58"/>
      <c r="D99" s="59"/>
      <c r="E99" s="50" t="str">
        <f t="shared" si="11"/>
        <v/>
      </c>
      <c r="F99" s="50"/>
      <c r="G99" s="51"/>
      <c r="H99" s="51"/>
      <c r="I99" s="51"/>
      <c r="J99" s="44" t="str">
        <f>IFERROR(VLOOKUP(D99,NBR!$C:$E,3,0),"")</f>
        <v/>
      </c>
      <c r="K99" s="50" t="e">
        <f t="shared" si="10"/>
        <v>#VALUE!</v>
      </c>
      <c r="L99" s="82"/>
      <c r="M99" s="46" t="str">
        <f>IFERROR(VLOOKUP(L99,LAMPADAS!$A:$B,2,0),"")</f>
        <v/>
      </c>
      <c r="N99" s="51"/>
      <c r="O99" s="51"/>
      <c r="P99" s="50" t="str">
        <f t="shared" si="7"/>
        <v/>
      </c>
      <c r="Q99" s="31"/>
      <c r="R99" s="47" t="str">
        <f>IFERROR(VLOOKUP(L99,#REF!,4,0),"")</f>
        <v/>
      </c>
      <c r="S99" s="53" t="str">
        <f t="shared" si="8"/>
        <v/>
      </c>
      <c r="T99" s="54" t="e">
        <f t="shared" si="9"/>
        <v>#VALUE!</v>
      </c>
      <c r="U99" s="22" t="e">
        <f>IF(E99*J99*M99=0,"",IF((Q99*M99*N99*O99)/E99&lt;IF(IFERROR(VLOOKUP(D99,NBR!$C:$D,2,0),J99)=IFERROR(VLOOKUP(D99,NBR!$C:$F,4,0),J99),J99*0.9,IFERROR(VLOOKUP(D99,NBR!$C:$D,2,0),J99*0.9)),"COLOCAR +"&amp;TEXT(ROUNDUP((E99*J99)/(M99*N99*O99),0)-Q99,"0")&amp;" luminaria(s)",IF((Q99*M99*N99*O99)/E99&gt;IF(IFERROR(VLOOKUP(D99,NBR!$C:$F,4,0),J99)=IFERROR(VLOOKUP(D99,NBR!$C:$D,2,0),J99),J99*1.2,IFERROR(VLOOKUP(D99,NBR!$C:$F,4,0),J99*1.2)),IF(Q99=1,"Reduzir potencia luminaria","RETIRAR -"&amp;TEXT(Q99-ROUNDUP((E99*IF(IFERROR(VLOOKUP(D99,NBR!$C:$F,4,0),J99)=J99,J99*1.2,IFERROR(VLOOKUP(D99,NBR!$C:$F,4,0),J99*1.2)))/(M99*N99*O99),0),"0")&amp;" luminaria(s)"),"OK")))</f>
        <v>#VALUE!</v>
      </c>
      <c r="V99" s="52" t="e">
        <f t="shared" si="6"/>
        <v>#VALUE!</v>
      </c>
      <c r="W99" s="60"/>
      <c r="X99" s="60"/>
      <c r="Y99" s="60"/>
      <c r="AA99" s="61"/>
      <c r="AB99" s="34"/>
      <c r="AC99" s="34"/>
      <c r="AD99" s="34"/>
    </row>
    <row r="100" spans="1:30" ht="18" customHeight="1" x14ac:dyDescent="0.25">
      <c r="A100" s="86"/>
      <c r="B100" s="86"/>
      <c r="C100" s="83"/>
      <c r="D100" s="17"/>
      <c r="E100" s="43" t="str">
        <f t="shared" si="11"/>
        <v/>
      </c>
      <c r="F100" s="43"/>
      <c r="G100" s="27"/>
      <c r="H100" s="27"/>
      <c r="I100" s="27"/>
      <c r="J100" s="44" t="str">
        <f>IFERROR(VLOOKUP(D100,NBR!$C:$E,3,0),"")</f>
        <v/>
      </c>
      <c r="K100" s="43" t="e">
        <f t="shared" si="10"/>
        <v>#VALUE!</v>
      </c>
      <c r="L100" s="45"/>
      <c r="M100" s="46" t="str">
        <f>IFERROR(VLOOKUP(L100,LAMPADAS!$A:$B,2,0),"")</f>
        <v/>
      </c>
      <c r="N100" s="27"/>
      <c r="O100" s="27"/>
      <c r="P100" s="45" t="str">
        <f t="shared" si="7"/>
        <v/>
      </c>
      <c r="Q100" s="29"/>
      <c r="R100" s="47" t="str">
        <f>IFERROR(VLOOKUP(L100,#REF!,4,0),"")</f>
        <v/>
      </c>
      <c r="S100" s="48" t="str">
        <f t="shared" si="8"/>
        <v/>
      </c>
      <c r="T100" s="49" t="e">
        <f t="shared" si="9"/>
        <v>#VALUE!</v>
      </c>
      <c r="U100" s="17" t="e">
        <f>IF(E100*J100*M100=0,"",IF((Q100*M100*N100*O100)/E100&lt;IF(IFERROR(VLOOKUP(D100,NBR!$C:$D,2,0),J100)=IFERROR(VLOOKUP(D100,NBR!$C:$F,4,0),J100),J100*0.9,IFERROR(VLOOKUP(D100,NBR!$C:$D,2,0),J100*0.9)),"COLOCAR +"&amp;TEXT(ROUNDUP((E100*J100)/(M100*N100*O100),0)-Q100,"0")&amp;" luminaria(s)",IF((Q100*M100*N100*O100)/E100&gt;IF(IFERROR(VLOOKUP(D100,NBR!$C:$F,4,0),J100)=IFERROR(VLOOKUP(D100,NBR!$C:$D,2,0),J100),J100*1.2,IFERROR(VLOOKUP(D100,NBR!$C:$F,4,0),J100*1.2)),IF(Q100=1,"Reduzir potencia luminaria","RETIRAR -"&amp;TEXT(Q100-ROUNDUP((E100*IF(IFERROR(VLOOKUP(D100,NBR!$C:$F,4,0),J100)=J100,J100*1.2,IFERROR(VLOOKUP(D100,NBR!$C:$F,4,0),J100*1.2)))/(M100*N100*O100),0),"0")&amp;" luminaria(s)"),"OK")))</f>
        <v>#VALUE!</v>
      </c>
      <c r="V100" s="48" t="e">
        <f t="shared" si="6"/>
        <v>#VALUE!</v>
      </c>
      <c r="W100" s="57"/>
      <c r="X100" s="55"/>
      <c r="Y100" s="56"/>
      <c r="AA100" s="34"/>
      <c r="AB100" s="34"/>
      <c r="AC100" s="34"/>
      <c r="AD100" s="34"/>
    </row>
    <row r="101" spans="1:30" ht="18" customHeight="1" x14ac:dyDescent="0.25">
      <c r="A101" s="85"/>
      <c r="B101" s="85"/>
      <c r="C101" s="58"/>
      <c r="D101" s="59"/>
      <c r="E101" s="50" t="str">
        <f t="shared" si="11"/>
        <v/>
      </c>
      <c r="F101" s="50"/>
      <c r="G101" s="51"/>
      <c r="H101" s="51"/>
      <c r="I101" s="51"/>
      <c r="J101" s="44" t="str">
        <f>IFERROR(VLOOKUP(D101,NBR!$C:$E,3,0),"")</f>
        <v/>
      </c>
      <c r="K101" s="50" t="e">
        <f t="shared" si="10"/>
        <v>#VALUE!</v>
      </c>
      <c r="L101" s="82"/>
      <c r="M101" s="46" t="str">
        <f>IFERROR(VLOOKUP(L101,LAMPADAS!$A:$B,2,0),"")</f>
        <v/>
      </c>
      <c r="N101" s="51"/>
      <c r="O101" s="51"/>
      <c r="P101" s="50" t="str">
        <f t="shared" si="7"/>
        <v/>
      </c>
      <c r="Q101" s="31"/>
      <c r="R101" s="47" t="str">
        <f>IFERROR(VLOOKUP(L101,#REF!,4,0),"")</f>
        <v/>
      </c>
      <c r="S101" s="53" t="str">
        <f t="shared" si="8"/>
        <v/>
      </c>
      <c r="T101" s="54" t="e">
        <f t="shared" si="9"/>
        <v>#VALUE!</v>
      </c>
      <c r="U101" s="22" t="e">
        <f>IF(E101*J101*M101=0,"",IF((Q101*M101*N101*O101)/E101&lt;IF(IFERROR(VLOOKUP(D101,NBR!$C:$D,2,0),J101)=IFERROR(VLOOKUP(D101,NBR!$C:$F,4,0),J101),J101*0.9,IFERROR(VLOOKUP(D101,NBR!$C:$D,2,0),J101*0.9)),"COLOCAR +"&amp;TEXT(ROUNDUP((E101*J101)/(M101*N101*O101),0)-Q101,"0")&amp;" luminaria(s)",IF((Q101*M101*N101*O101)/E101&gt;IF(IFERROR(VLOOKUP(D101,NBR!$C:$F,4,0),J101)=IFERROR(VLOOKUP(D101,NBR!$C:$D,2,0),J101),J101*1.2,IFERROR(VLOOKUP(D101,NBR!$C:$F,4,0),J101*1.2)),IF(Q101=1,"Reduzir potencia luminaria","RETIRAR -"&amp;TEXT(Q101-ROUNDUP((E101*IF(IFERROR(VLOOKUP(D101,NBR!$C:$F,4,0),J101)=J101,J101*1.2,IFERROR(VLOOKUP(D101,NBR!$C:$F,4,0),J101*1.2)))/(M101*N101*O101),0),"0")&amp;" luminaria(s)"),"OK")))</f>
        <v>#VALUE!</v>
      </c>
      <c r="V101" s="52" t="e">
        <f t="shared" si="6"/>
        <v>#VALUE!</v>
      </c>
      <c r="W101" s="60"/>
      <c r="X101" s="60"/>
      <c r="Y101" s="60"/>
      <c r="AA101" s="61"/>
      <c r="AB101" s="34"/>
      <c r="AC101" s="34"/>
      <c r="AD101" s="34"/>
    </row>
    <row r="102" spans="1:30" ht="18" customHeight="1" x14ac:dyDescent="0.25">
      <c r="A102" s="86"/>
      <c r="B102" s="86"/>
      <c r="C102" s="83"/>
      <c r="D102" s="17"/>
      <c r="E102" s="43" t="str">
        <f t="shared" si="11"/>
        <v/>
      </c>
      <c r="F102" s="43"/>
      <c r="G102" s="27"/>
      <c r="H102" s="27"/>
      <c r="I102" s="27"/>
      <c r="J102" s="44" t="str">
        <f>IFERROR(VLOOKUP(D102,NBR!$C:$E,3,0),"")</f>
        <v/>
      </c>
      <c r="K102" s="43" t="e">
        <f t="shared" si="10"/>
        <v>#VALUE!</v>
      </c>
      <c r="L102" s="45"/>
      <c r="M102" s="46" t="str">
        <f>IFERROR(VLOOKUP(L102,LAMPADAS!$A:$B,2,0),"")</f>
        <v/>
      </c>
      <c r="N102" s="27"/>
      <c r="O102" s="27"/>
      <c r="P102" s="45" t="str">
        <f t="shared" si="7"/>
        <v/>
      </c>
      <c r="Q102" s="29"/>
      <c r="R102" s="47" t="str">
        <f>IFERROR(VLOOKUP(L102,#REF!,4,0),"")</f>
        <v/>
      </c>
      <c r="S102" s="48" t="str">
        <f t="shared" si="8"/>
        <v/>
      </c>
      <c r="T102" s="49" t="e">
        <f t="shared" si="9"/>
        <v>#VALUE!</v>
      </c>
      <c r="U102" s="17" t="e">
        <f>IF(E102*J102*M102=0,"",IF((Q102*M102*N102*O102)/E102&lt;IF(IFERROR(VLOOKUP(D102,NBR!$C:$D,2,0),J102)=IFERROR(VLOOKUP(D102,NBR!$C:$F,4,0),J102),J102*0.9,IFERROR(VLOOKUP(D102,NBR!$C:$D,2,0),J102*0.9)),"COLOCAR +"&amp;TEXT(ROUNDUP((E102*J102)/(M102*N102*O102),0)-Q102,"0")&amp;" luminaria(s)",IF((Q102*M102*N102*O102)/E102&gt;IF(IFERROR(VLOOKUP(D102,NBR!$C:$F,4,0),J102)=IFERROR(VLOOKUP(D102,NBR!$C:$D,2,0),J102),J102*1.2,IFERROR(VLOOKUP(D102,NBR!$C:$F,4,0),J102*1.2)),IF(Q102=1,"Reduzir potencia luminaria","RETIRAR -"&amp;TEXT(Q102-ROUNDUP((E102*IF(IFERROR(VLOOKUP(D102,NBR!$C:$F,4,0),J102)=J102,J102*1.2,IFERROR(VLOOKUP(D102,NBR!$C:$F,4,0),J102*1.2)))/(M102*N102*O102),0),"0")&amp;" luminaria(s)"),"OK")))</f>
        <v>#VALUE!</v>
      </c>
      <c r="V102" s="48" t="e">
        <f t="shared" si="6"/>
        <v>#VALUE!</v>
      </c>
      <c r="W102" s="57"/>
      <c r="X102" s="55"/>
      <c r="Y102" s="56"/>
      <c r="AA102" s="34"/>
      <c r="AB102" s="34"/>
      <c r="AC102" s="34"/>
      <c r="AD102" s="34"/>
    </row>
    <row r="103" spans="1:30" ht="18" customHeight="1" x14ac:dyDescent="0.25">
      <c r="A103" s="85"/>
      <c r="B103" s="85"/>
      <c r="C103" s="58"/>
      <c r="D103" s="59"/>
      <c r="E103" s="50" t="str">
        <f t="shared" si="11"/>
        <v/>
      </c>
      <c r="F103" s="50"/>
      <c r="G103" s="51"/>
      <c r="H103" s="51"/>
      <c r="I103" s="51"/>
      <c r="J103" s="44" t="str">
        <f>IFERROR(VLOOKUP(D103,NBR!$C:$E,3,0),"")</f>
        <v/>
      </c>
      <c r="K103" s="50" t="e">
        <f t="shared" si="10"/>
        <v>#VALUE!</v>
      </c>
      <c r="L103" s="82"/>
      <c r="M103" s="46" t="str">
        <f>IFERROR(VLOOKUP(L103,LAMPADAS!$A:$B,2,0),"")</f>
        <v/>
      </c>
      <c r="N103" s="51"/>
      <c r="O103" s="51"/>
      <c r="P103" s="50" t="str">
        <f t="shared" si="7"/>
        <v/>
      </c>
      <c r="Q103" s="31"/>
      <c r="R103" s="47" t="str">
        <f>IFERROR(VLOOKUP(L103,#REF!,4,0),"")</f>
        <v/>
      </c>
      <c r="S103" s="53" t="str">
        <f t="shared" si="8"/>
        <v/>
      </c>
      <c r="T103" s="54" t="e">
        <f t="shared" si="9"/>
        <v>#VALUE!</v>
      </c>
      <c r="U103" s="22" t="e">
        <f>IF(E103*J103*M103=0,"",IF((Q103*M103*N103*O103)/E103&lt;IF(IFERROR(VLOOKUP(D103,NBR!$C:$D,2,0),J103)=IFERROR(VLOOKUP(D103,NBR!$C:$F,4,0),J103),J103*0.9,IFERROR(VLOOKUP(D103,NBR!$C:$D,2,0),J103*0.9)),"COLOCAR +"&amp;TEXT(ROUNDUP((E103*J103)/(M103*N103*O103),0)-Q103,"0")&amp;" luminaria(s)",IF((Q103*M103*N103*O103)/E103&gt;IF(IFERROR(VLOOKUP(D103,NBR!$C:$F,4,0),J103)=IFERROR(VLOOKUP(D103,NBR!$C:$D,2,0),J103),J103*1.2,IFERROR(VLOOKUP(D103,NBR!$C:$F,4,0),J103*1.2)),IF(Q103=1,"Reduzir potencia luminaria","RETIRAR -"&amp;TEXT(Q103-ROUNDUP((E103*IF(IFERROR(VLOOKUP(D103,NBR!$C:$F,4,0),J103)=J103,J103*1.2,IFERROR(VLOOKUP(D103,NBR!$C:$F,4,0),J103*1.2)))/(M103*N103*O103),0),"0")&amp;" luminaria(s)"),"OK")))</f>
        <v>#VALUE!</v>
      </c>
      <c r="V103" s="52" t="e">
        <f t="shared" si="6"/>
        <v>#VALUE!</v>
      </c>
      <c r="W103" s="60"/>
      <c r="X103" s="60"/>
      <c r="Y103" s="60"/>
      <c r="AA103" s="61"/>
      <c r="AB103" s="34"/>
      <c r="AC103" s="34"/>
      <c r="AD103" s="34"/>
    </row>
    <row r="104" spans="1:30" ht="18" customHeight="1" x14ac:dyDescent="0.25">
      <c r="A104" s="86"/>
      <c r="B104" s="86"/>
      <c r="C104" s="83"/>
      <c r="D104" s="17"/>
      <c r="E104" s="43" t="str">
        <f t="shared" si="11"/>
        <v/>
      </c>
      <c r="F104" s="43"/>
      <c r="G104" s="27"/>
      <c r="H104" s="27"/>
      <c r="I104" s="27"/>
      <c r="J104" s="44" t="str">
        <f>IFERROR(VLOOKUP(D104,NBR!$C:$E,3,0),"")</f>
        <v/>
      </c>
      <c r="K104" s="43" t="e">
        <f t="shared" si="10"/>
        <v>#VALUE!</v>
      </c>
      <c r="L104" s="45"/>
      <c r="M104" s="46" t="str">
        <f>IFERROR(VLOOKUP(L104,LAMPADAS!$A:$B,2,0),"")</f>
        <v/>
      </c>
      <c r="N104" s="27"/>
      <c r="O104" s="27"/>
      <c r="P104" s="45" t="str">
        <f t="shared" si="7"/>
        <v/>
      </c>
      <c r="Q104" s="29"/>
      <c r="R104" s="47" t="str">
        <f>IFERROR(VLOOKUP(L104,#REF!,4,0),"")</f>
        <v/>
      </c>
      <c r="S104" s="48" t="str">
        <f t="shared" si="8"/>
        <v/>
      </c>
      <c r="T104" s="49" t="e">
        <f t="shared" si="9"/>
        <v>#VALUE!</v>
      </c>
      <c r="U104" s="17" t="e">
        <f>IF(E104*J104*M104=0,"",IF((Q104*M104*N104*O104)/E104&lt;IF(IFERROR(VLOOKUP(D104,NBR!$C:$D,2,0),J104)=IFERROR(VLOOKUP(D104,NBR!$C:$F,4,0),J104),J104*0.9,IFERROR(VLOOKUP(D104,NBR!$C:$D,2,0),J104*0.9)),"COLOCAR +"&amp;TEXT(ROUNDUP((E104*J104)/(M104*N104*O104),0)-Q104,"0")&amp;" luminaria(s)",IF((Q104*M104*N104*O104)/E104&gt;IF(IFERROR(VLOOKUP(D104,NBR!$C:$F,4,0),J104)=IFERROR(VLOOKUP(D104,NBR!$C:$D,2,0),J104),J104*1.2,IFERROR(VLOOKUP(D104,NBR!$C:$F,4,0),J104*1.2)),IF(Q104=1,"Reduzir potencia luminaria","RETIRAR -"&amp;TEXT(Q104-ROUNDUP((E104*IF(IFERROR(VLOOKUP(D104,NBR!$C:$F,4,0),J104)=J104,J104*1.2,IFERROR(VLOOKUP(D104,NBR!$C:$F,4,0),J104*1.2)))/(M104*N104*O104),0),"0")&amp;" luminaria(s)"),"OK")))</f>
        <v>#VALUE!</v>
      </c>
      <c r="V104" s="48" t="e">
        <f t="shared" si="6"/>
        <v>#VALUE!</v>
      </c>
      <c r="W104" s="57"/>
      <c r="X104" s="55"/>
      <c r="Y104" s="56"/>
      <c r="AA104" s="34"/>
      <c r="AB104" s="34"/>
      <c r="AC104" s="34"/>
      <c r="AD104" s="34"/>
    </row>
    <row r="105" spans="1:30" ht="18" customHeight="1" x14ac:dyDescent="0.25">
      <c r="A105" s="85"/>
      <c r="B105" s="85"/>
      <c r="C105" s="58"/>
      <c r="D105" s="59"/>
      <c r="E105" s="50" t="str">
        <f t="shared" si="11"/>
        <v/>
      </c>
      <c r="F105" s="50"/>
      <c r="G105" s="51"/>
      <c r="H105" s="51"/>
      <c r="I105" s="51"/>
      <c r="J105" s="44" t="str">
        <f>IFERROR(VLOOKUP(D105,NBR!$C:$E,3,0),"")</f>
        <v/>
      </c>
      <c r="K105" s="50" t="e">
        <f t="shared" si="10"/>
        <v>#VALUE!</v>
      </c>
      <c r="L105" s="82"/>
      <c r="M105" s="46" t="str">
        <f>IFERROR(VLOOKUP(L105,LAMPADAS!$A:$B,2,0),"")</f>
        <v/>
      </c>
      <c r="N105" s="51"/>
      <c r="O105" s="51"/>
      <c r="P105" s="50" t="str">
        <f t="shared" si="7"/>
        <v/>
      </c>
      <c r="Q105" s="31"/>
      <c r="R105" s="47" t="str">
        <f>IFERROR(VLOOKUP(L105,#REF!,4,0),"")</f>
        <v/>
      </c>
      <c r="S105" s="53" t="str">
        <f t="shared" si="8"/>
        <v/>
      </c>
      <c r="T105" s="54" t="e">
        <f t="shared" si="9"/>
        <v>#VALUE!</v>
      </c>
      <c r="U105" s="22" t="e">
        <f>IF(E105*J105*M105=0,"",IF((Q105*M105*N105*O105)/E105&lt;IF(IFERROR(VLOOKUP(D105,NBR!$C:$D,2,0),J105)=IFERROR(VLOOKUP(D105,NBR!$C:$F,4,0),J105),J105*0.9,IFERROR(VLOOKUP(D105,NBR!$C:$D,2,0),J105*0.9)),"COLOCAR +"&amp;TEXT(ROUNDUP((E105*J105)/(M105*N105*O105),0)-Q105,"0")&amp;" luminaria(s)",IF((Q105*M105*N105*O105)/E105&gt;IF(IFERROR(VLOOKUP(D105,NBR!$C:$F,4,0),J105)=IFERROR(VLOOKUP(D105,NBR!$C:$D,2,0),J105),J105*1.2,IFERROR(VLOOKUP(D105,NBR!$C:$F,4,0),J105*1.2)),IF(Q105=1,"Reduzir potencia luminaria","RETIRAR -"&amp;TEXT(Q105-ROUNDUP((E105*IF(IFERROR(VLOOKUP(D105,NBR!$C:$F,4,0),J105)=J105,J105*1.2,IFERROR(VLOOKUP(D105,NBR!$C:$F,4,0),J105*1.2)))/(M105*N105*O105),0),"0")&amp;" luminaria(s)"),"OK")))</f>
        <v>#VALUE!</v>
      </c>
      <c r="V105" s="52" t="e">
        <f t="shared" si="6"/>
        <v>#VALUE!</v>
      </c>
      <c r="W105" s="60"/>
      <c r="X105" s="60"/>
      <c r="Y105" s="60"/>
      <c r="AA105" s="61"/>
      <c r="AB105" s="34"/>
      <c r="AC105" s="34"/>
      <c r="AD105" s="34"/>
    </row>
    <row r="106" spans="1:30" ht="18" customHeight="1" x14ac:dyDescent="0.25">
      <c r="A106" s="86"/>
      <c r="B106" s="86"/>
      <c r="C106" s="83"/>
      <c r="D106" s="17"/>
      <c r="E106" s="43" t="str">
        <f t="shared" si="11"/>
        <v/>
      </c>
      <c r="F106" s="43"/>
      <c r="G106" s="27"/>
      <c r="H106" s="27"/>
      <c r="I106" s="27"/>
      <c r="J106" s="44" t="str">
        <f>IFERROR(VLOOKUP(D106,NBR!$C:$E,3,0),"")</f>
        <v/>
      </c>
      <c r="K106" s="43" t="e">
        <f t="shared" si="10"/>
        <v>#VALUE!</v>
      </c>
      <c r="L106" s="45"/>
      <c r="M106" s="46" t="str">
        <f>IFERROR(VLOOKUP(L106,LAMPADAS!$A:$B,2,0),"")</f>
        <v/>
      </c>
      <c r="N106" s="27"/>
      <c r="O106" s="27"/>
      <c r="P106" s="45" t="str">
        <f t="shared" si="7"/>
        <v/>
      </c>
      <c r="Q106" s="29"/>
      <c r="R106" s="47" t="str">
        <f>IFERROR(VLOOKUP(L106,#REF!,4,0),"")</f>
        <v/>
      </c>
      <c r="S106" s="48" t="str">
        <f t="shared" si="8"/>
        <v/>
      </c>
      <c r="T106" s="49" t="e">
        <f t="shared" si="9"/>
        <v>#VALUE!</v>
      </c>
      <c r="U106" s="17" t="e">
        <f>IF(E106*J106*M106=0,"",IF((Q106*M106*N106*O106)/E106&lt;IF(IFERROR(VLOOKUP(D106,NBR!$C:$D,2,0),J106)=IFERROR(VLOOKUP(D106,NBR!$C:$F,4,0),J106),J106*0.9,IFERROR(VLOOKUP(D106,NBR!$C:$D,2,0),J106*0.9)),"COLOCAR +"&amp;TEXT(ROUNDUP((E106*J106)/(M106*N106*O106),0)-Q106,"0")&amp;" luminaria(s)",IF((Q106*M106*N106*O106)/E106&gt;IF(IFERROR(VLOOKUP(D106,NBR!$C:$F,4,0),J106)=IFERROR(VLOOKUP(D106,NBR!$C:$D,2,0),J106),J106*1.2,IFERROR(VLOOKUP(D106,NBR!$C:$F,4,0),J106*1.2)),IF(Q106=1,"Reduzir potencia luminaria","RETIRAR -"&amp;TEXT(Q106-ROUNDUP((E106*IF(IFERROR(VLOOKUP(D106,NBR!$C:$F,4,0),J106)=J106,J106*1.2,IFERROR(VLOOKUP(D106,NBR!$C:$F,4,0),J106*1.2)))/(M106*N106*O106),0),"0")&amp;" luminaria(s)"),"OK")))</f>
        <v>#VALUE!</v>
      </c>
      <c r="V106" s="48" t="e">
        <f t="shared" si="6"/>
        <v>#VALUE!</v>
      </c>
      <c r="W106" s="57"/>
      <c r="X106" s="55"/>
      <c r="Y106" s="56"/>
      <c r="AA106" s="34"/>
      <c r="AB106" s="34"/>
      <c r="AC106" s="34"/>
      <c r="AD106" s="34"/>
    </row>
    <row r="107" spans="1:30" ht="18" customHeight="1" x14ac:dyDescent="0.25">
      <c r="A107" s="85"/>
      <c r="B107" s="85"/>
      <c r="C107" s="58"/>
      <c r="D107" s="59"/>
      <c r="E107" s="50" t="str">
        <f t="shared" si="11"/>
        <v/>
      </c>
      <c r="F107" s="50"/>
      <c r="G107" s="51"/>
      <c r="H107" s="51"/>
      <c r="I107" s="51"/>
      <c r="J107" s="44" t="str">
        <f>IFERROR(VLOOKUP(D107,NBR!$C:$E,3,0),"")</f>
        <v/>
      </c>
      <c r="K107" s="50" t="e">
        <f t="shared" si="10"/>
        <v>#VALUE!</v>
      </c>
      <c r="L107" s="82"/>
      <c r="M107" s="46" t="str">
        <f>IFERROR(VLOOKUP(L107,LAMPADAS!$A:$B,2,0),"")</f>
        <v/>
      </c>
      <c r="N107" s="51"/>
      <c r="O107" s="51"/>
      <c r="P107" s="50" t="str">
        <f t="shared" si="7"/>
        <v/>
      </c>
      <c r="Q107" s="31"/>
      <c r="R107" s="47" t="str">
        <f>IFERROR(VLOOKUP(L107,#REF!,4,0),"")</f>
        <v/>
      </c>
      <c r="S107" s="53" t="str">
        <f t="shared" si="8"/>
        <v/>
      </c>
      <c r="T107" s="54" t="e">
        <f t="shared" si="9"/>
        <v>#VALUE!</v>
      </c>
      <c r="U107" s="22" t="e">
        <f>IF(E107*J107*M107=0,"",IF((Q107*M107*N107*O107)/E107&lt;IF(IFERROR(VLOOKUP(D107,NBR!$C:$D,2,0),J107)=IFERROR(VLOOKUP(D107,NBR!$C:$F,4,0),J107),J107*0.9,IFERROR(VLOOKUP(D107,NBR!$C:$D,2,0),J107*0.9)),"COLOCAR +"&amp;TEXT(ROUNDUP((E107*J107)/(M107*N107*O107),0)-Q107,"0")&amp;" luminaria(s)",IF((Q107*M107*N107*O107)/E107&gt;IF(IFERROR(VLOOKUP(D107,NBR!$C:$F,4,0),J107)=IFERROR(VLOOKUP(D107,NBR!$C:$D,2,0),J107),J107*1.2,IFERROR(VLOOKUP(D107,NBR!$C:$F,4,0),J107*1.2)),IF(Q107=1,"Reduzir potencia luminaria","RETIRAR -"&amp;TEXT(Q107-ROUNDUP((E107*IF(IFERROR(VLOOKUP(D107,NBR!$C:$F,4,0),J107)=J107,J107*1.2,IFERROR(VLOOKUP(D107,NBR!$C:$F,4,0),J107*1.2)))/(M107*N107*O107),0),"0")&amp;" luminaria(s)"),"OK")))</f>
        <v>#VALUE!</v>
      </c>
      <c r="V107" s="52" t="e">
        <f t="shared" si="6"/>
        <v>#VALUE!</v>
      </c>
      <c r="W107" s="60"/>
      <c r="X107" s="60"/>
      <c r="Y107" s="60"/>
      <c r="AA107" s="61"/>
      <c r="AB107" s="34"/>
      <c r="AC107" s="34"/>
      <c r="AD107" s="34"/>
    </row>
    <row r="108" spans="1:30" ht="18" customHeight="1" x14ac:dyDescent="0.25">
      <c r="A108" s="86"/>
      <c r="B108" s="86"/>
      <c r="C108" s="83"/>
      <c r="D108" s="17"/>
      <c r="E108" s="43" t="str">
        <f t="shared" si="11"/>
        <v/>
      </c>
      <c r="F108" s="43"/>
      <c r="G108" s="27"/>
      <c r="H108" s="27"/>
      <c r="I108" s="27"/>
      <c r="J108" s="44" t="str">
        <f>IFERROR(VLOOKUP(D108,NBR!$C:$E,3,0),"")</f>
        <v/>
      </c>
      <c r="K108" s="43" t="e">
        <f t="shared" si="10"/>
        <v>#VALUE!</v>
      </c>
      <c r="L108" s="45"/>
      <c r="M108" s="46" t="str">
        <f>IFERROR(VLOOKUP(L108,LAMPADAS!$A:$B,2,0),"")</f>
        <v/>
      </c>
      <c r="N108" s="27"/>
      <c r="O108" s="27"/>
      <c r="P108" s="45" t="str">
        <f t="shared" si="7"/>
        <v/>
      </c>
      <c r="Q108" s="29"/>
      <c r="R108" s="47" t="str">
        <f>IFERROR(VLOOKUP(L108,#REF!,4,0),"")</f>
        <v/>
      </c>
      <c r="S108" s="48" t="str">
        <f t="shared" si="8"/>
        <v/>
      </c>
      <c r="T108" s="49" t="e">
        <f t="shared" si="9"/>
        <v>#VALUE!</v>
      </c>
      <c r="U108" s="17" t="e">
        <f>IF(E108*J108*M108=0,"",IF((Q108*M108*N108*O108)/E108&lt;IF(IFERROR(VLOOKUP(D108,NBR!$C:$D,2,0),J108)=IFERROR(VLOOKUP(D108,NBR!$C:$F,4,0),J108),J108*0.9,IFERROR(VLOOKUP(D108,NBR!$C:$D,2,0),J108*0.9)),"COLOCAR +"&amp;TEXT(ROUNDUP((E108*J108)/(M108*N108*O108),0)-Q108,"0")&amp;" luminaria(s)",IF((Q108*M108*N108*O108)/E108&gt;IF(IFERROR(VLOOKUP(D108,NBR!$C:$F,4,0),J108)=IFERROR(VLOOKUP(D108,NBR!$C:$D,2,0),J108),J108*1.2,IFERROR(VLOOKUP(D108,NBR!$C:$F,4,0),J108*1.2)),IF(Q108=1,"Reduzir potencia luminaria","RETIRAR -"&amp;TEXT(Q108-ROUNDUP((E108*IF(IFERROR(VLOOKUP(D108,NBR!$C:$F,4,0),J108)=J108,J108*1.2,IFERROR(VLOOKUP(D108,NBR!$C:$F,4,0),J108*1.2)))/(M108*N108*O108),0),"0")&amp;" luminaria(s)"),"OK")))</f>
        <v>#VALUE!</v>
      </c>
      <c r="V108" s="48" t="e">
        <f t="shared" si="6"/>
        <v>#VALUE!</v>
      </c>
      <c r="W108" s="57"/>
      <c r="X108" s="55"/>
      <c r="Y108" s="56"/>
      <c r="AA108" s="34"/>
      <c r="AB108" s="34"/>
      <c r="AC108" s="34"/>
      <c r="AD108" s="34"/>
    </row>
    <row r="109" spans="1:30" ht="18" customHeight="1" x14ac:dyDescent="0.25">
      <c r="A109" s="85"/>
      <c r="B109" s="85"/>
      <c r="C109" s="58"/>
      <c r="D109" s="59"/>
      <c r="E109" s="50" t="str">
        <f t="shared" si="11"/>
        <v/>
      </c>
      <c r="F109" s="50"/>
      <c r="G109" s="51"/>
      <c r="H109" s="51"/>
      <c r="I109" s="51"/>
      <c r="J109" s="44" t="str">
        <f>IFERROR(VLOOKUP(D109,NBR!$C:$E,3,0),"")</f>
        <v/>
      </c>
      <c r="K109" s="50" t="e">
        <f t="shared" si="10"/>
        <v>#VALUE!</v>
      </c>
      <c r="L109" s="82"/>
      <c r="M109" s="46" t="str">
        <f>IFERROR(VLOOKUP(L109,LAMPADAS!$A:$B,2,0),"")</f>
        <v/>
      </c>
      <c r="N109" s="51"/>
      <c r="O109" s="51"/>
      <c r="P109" s="50" t="str">
        <f t="shared" si="7"/>
        <v/>
      </c>
      <c r="Q109" s="31"/>
      <c r="R109" s="47" t="str">
        <f>IFERROR(VLOOKUP(L109,#REF!,4,0),"")</f>
        <v/>
      </c>
      <c r="S109" s="53" t="str">
        <f t="shared" si="8"/>
        <v/>
      </c>
      <c r="T109" s="54" t="e">
        <f t="shared" si="9"/>
        <v>#VALUE!</v>
      </c>
      <c r="U109" s="22" t="e">
        <f>IF(E109*J109*M109=0,"",IF((Q109*M109*N109*O109)/E109&lt;IF(IFERROR(VLOOKUP(D109,NBR!$C:$D,2,0),J109)=IFERROR(VLOOKUP(D109,NBR!$C:$F,4,0),J109),J109*0.9,IFERROR(VLOOKUP(D109,NBR!$C:$D,2,0),J109*0.9)),"COLOCAR +"&amp;TEXT(ROUNDUP((E109*J109)/(M109*N109*O109),0)-Q109,"0")&amp;" luminaria(s)",IF((Q109*M109*N109*O109)/E109&gt;IF(IFERROR(VLOOKUP(D109,NBR!$C:$F,4,0),J109)=IFERROR(VLOOKUP(D109,NBR!$C:$D,2,0),J109),J109*1.2,IFERROR(VLOOKUP(D109,NBR!$C:$F,4,0),J109*1.2)),IF(Q109=1,"Reduzir potencia luminaria","RETIRAR -"&amp;TEXT(Q109-ROUNDUP((E109*IF(IFERROR(VLOOKUP(D109,NBR!$C:$F,4,0),J109)=J109,J109*1.2,IFERROR(VLOOKUP(D109,NBR!$C:$F,4,0),J109*1.2)))/(M109*N109*O109),0),"0")&amp;" luminaria(s)"),"OK")))</f>
        <v>#VALUE!</v>
      </c>
      <c r="V109" s="52" t="e">
        <f t="shared" si="6"/>
        <v>#VALUE!</v>
      </c>
      <c r="W109" s="60"/>
      <c r="X109" s="60"/>
      <c r="Y109" s="60"/>
      <c r="AA109" s="61"/>
      <c r="AB109" s="34"/>
      <c r="AC109" s="34"/>
      <c r="AD109" s="34"/>
    </row>
    <row r="110" spans="1:30" ht="18" customHeight="1" x14ac:dyDescent="0.25">
      <c r="A110" s="86"/>
      <c r="B110" s="86"/>
      <c r="C110" s="83"/>
      <c r="D110" s="17"/>
      <c r="E110" s="43" t="str">
        <f t="shared" si="11"/>
        <v/>
      </c>
      <c r="F110" s="43"/>
      <c r="G110" s="27"/>
      <c r="H110" s="27"/>
      <c r="I110" s="27"/>
      <c r="J110" s="44" t="str">
        <f>IFERROR(VLOOKUP(D110,NBR!$C:$E,3,0),"")</f>
        <v/>
      </c>
      <c r="K110" s="43" t="e">
        <f t="shared" si="10"/>
        <v>#VALUE!</v>
      </c>
      <c r="L110" s="45"/>
      <c r="M110" s="46" t="str">
        <f>IFERROR(VLOOKUP(L110,LAMPADAS!$A:$B,2,0),"")</f>
        <v/>
      </c>
      <c r="N110" s="27"/>
      <c r="O110" s="27"/>
      <c r="P110" s="45" t="str">
        <f t="shared" si="7"/>
        <v/>
      </c>
      <c r="Q110" s="29"/>
      <c r="R110" s="47" t="str">
        <f>IFERROR(VLOOKUP(L110,#REF!,4,0),"")</f>
        <v/>
      </c>
      <c r="S110" s="48" t="str">
        <f t="shared" si="8"/>
        <v/>
      </c>
      <c r="T110" s="49" t="e">
        <f t="shared" si="9"/>
        <v>#VALUE!</v>
      </c>
      <c r="U110" s="17" t="e">
        <f>IF(E110*J110*M110=0,"",IF((Q110*M110*N110*O110)/E110&lt;IF(IFERROR(VLOOKUP(D110,NBR!$C:$D,2,0),J110)=IFERROR(VLOOKUP(D110,NBR!$C:$F,4,0),J110),J110*0.9,IFERROR(VLOOKUP(D110,NBR!$C:$D,2,0),J110*0.9)),"COLOCAR +"&amp;TEXT(ROUNDUP((E110*J110)/(M110*N110*O110),0)-Q110,"0")&amp;" luminaria(s)",IF((Q110*M110*N110*O110)/E110&gt;IF(IFERROR(VLOOKUP(D110,NBR!$C:$F,4,0),J110)=IFERROR(VLOOKUP(D110,NBR!$C:$D,2,0),J110),J110*1.2,IFERROR(VLOOKUP(D110,NBR!$C:$F,4,0),J110*1.2)),IF(Q110=1,"Reduzir potencia luminaria","RETIRAR -"&amp;TEXT(Q110-ROUNDUP((E110*IF(IFERROR(VLOOKUP(D110,NBR!$C:$F,4,0),J110)=J110,J110*1.2,IFERROR(VLOOKUP(D110,NBR!$C:$F,4,0),J110*1.2)))/(M110*N110*O110),0),"0")&amp;" luminaria(s)"),"OK")))</f>
        <v>#VALUE!</v>
      </c>
      <c r="V110" s="48" t="e">
        <f t="shared" si="6"/>
        <v>#VALUE!</v>
      </c>
      <c r="W110" s="57"/>
      <c r="X110" s="55"/>
      <c r="Y110" s="56"/>
      <c r="AA110" s="34"/>
      <c r="AB110" s="34"/>
      <c r="AC110" s="34"/>
      <c r="AD110" s="34"/>
    </row>
    <row r="111" spans="1:30" ht="18" customHeight="1" x14ac:dyDescent="0.25">
      <c r="A111" s="85"/>
      <c r="B111" s="85"/>
      <c r="C111" s="58"/>
      <c r="D111" s="59"/>
      <c r="E111" s="50" t="str">
        <f t="shared" si="11"/>
        <v/>
      </c>
      <c r="F111" s="50"/>
      <c r="G111" s="51"/>
      <c r="H111" s="51"/>
      <c r="I111" s="51"/>
      <c r="J111" s="44" t="str">
        <f>IFERROR(VLOOKUP(D111,NBR!$C:$E,3,0),"")</f>
        <v/>
      </c>
      <c r="K111" s="50" t="e">
        <f t="shared" si="10"/>
        <v>#VALUE!</v>
      </c>
      <c r="L111" s="82"/>
      <c r="M111" s="46" t="str">
        <f>IFERROR(VLOOKUP(L111,LAMPADAS!$A:$B,2,0),"")</f>
        <v/>
      </c>
      <c r="N111" s="51"/>
      <c r="O111" s="51"/>
      <c r="P111" s="50" t="str">
        <f t="shared" si="7"/>
        <v/>
      </c>
      <c r="Q111" s="31"/>
      <c r="R111" s="47" t="str">
        <f>IFERROR(VLOOKUP(L111,#REF!,4,0),"")</f>
        <v/>
      </c>
      <c r="S111" s="53" t="str">
        <f t="shared" si="8"/>
        <v/>
      </c>
      <c r="T111" s="54" t="e">
        <f t="shared" si="9"/>
        <v>#VALUE!</v>
      </c>
      <c r="U111" s="22" t="e">
        <f>IF(E111*J111*M111=0,"",IF((Q111*M111*N111*O111)/E111&lt;IF(IFERROR(VLOOKUP(D111,NBR!$C:$D,2,0),J111)=IFERROR(VLOOKUP(D111,NBR!$C:$F,4,0),J111),J111*0.9,IFERROR(VLOOKUP(D111,NBR!$C:$D,2,0),J111*0.9)),"COLOCAR +"&amp;TEXT(ROUNDUP((E111*J111)/(M111*N111*O111),0)-Q111,"0")&amp;" luminaria(s)",IF((Q111*M111*N111*O111)/E111&gt;IF(IFERROR(VLOOKUP(D111,NBR!$C:$F,4,0),J111)=IFERROR(VLOOKUP(D111,NBR!$C:$D,2,0),J111),J111*1.2,IFERROR(VLOOKUP(D111,NBR!$C:$F,4,0),J111*1.2)),IF(Q111=1,"Reduzir potencia luminaria","RETIRAR -"&amp;TEXT(Q111-ROUNDUP((E111*IF(IFERROR(VLOOKUP(D111,NBR!$C:$F,4,0),J111)=J111,J111*1.2,IFERROR(VLOOKUP(D111,NBR!$C:$F,4,0),J111*1.2)))/(M111*N111*O111),0),"0")&amp;" luminaria(s)"),"OK")))</f>
        <v>#VALUE!</v>
      </c>
      <c r="V111" s="52" t="e">
        <f t="shared" si="6"/>
        <v>#VALUE!</v>
      </c>
      <c r="W111" s="60"/>
      <c r="X111" s="60"/>
      <c r="Y111" s="60"/>
      <c r="AA111" s="61"/>
      <c r="AB111" s="34"/>
      <c r="AC111" s="34"/>
      <c r="AD111" s="34"/>
    </row>
    <row r="112" spans="1:30" ht="18" customHeight="1" x14ac:dyDescent="0.25">
      <c r="A112" s="86"/>
      <c r="B112" s="86"/>
      <c r="C112" s="83"/>
      <c r="D112" s="17"/>
      <c r="E112" s="43" t="str">
        <f t="shared" si="11"/>
        <v/>
      </c>
      <c r="F112" s="43"/>
      <c r="G112" s="27"/>
      <c r="H112" s="27"/>
      <c r="I112" s="27"/>
      <c r="J112" s="44" t="str">
        <f>IFERROR(VLOOKUP(D112,NBR!$C:$E,3,0),"")</f>
        <v/>
      </c>
      <c r="K112" s="43" t="e">
        <f t="shared" si="10"/>
        <v>#VALUE!</v>
      </c>
      <c r="L112" s="45"/>
      <c r="M112" s="46" t="str">
        <f>IFERROR(VLOOKUP(L112,LAMPADAS!$A:$B,2,0),"")</f>
        <v/>
      </c>
      <c r="N112" s="27"/>
      <c r="O112" s="27"/>
      <c r="P112" s="45" t="str">
        <f t="shared" si="7"/>
        <v/>
      </c>
      <c r="Q112" s="29"/>
      <c r="R112" s="47" t="str">
        <f>IFERROR(VLOOKUP(L112,#REF!,4,0),"")</f>
        <v/>
      </c>
      <c r="S112" s="48" t="str">
        <f t="shared" si="8"/>
        <v/>
      </c>
      <c r="T112" s="49" t="e">
        <f t="shared" si="9"/>
        <v>#VALUE!</v>
      </c>
      <c r="U112" s="17" t="e">
        <f>IF(E112*J112*M112=0,"",IF((Q112*M112*N112*O112)/E112&lt;IF(IFERROR(VLOOKUP(D112,NBR!$C:$D,2,0),J112)=IFERROR(VLOOKUP(D112,NBR!$C:$F,4,0),J112),J112*0.9,IFERROR(VLOOKUP(D112,NBR!$C:$D,2,0),J112*0.9)),"COLOCAR +"&amp;TEXT(ROUNDUP((E112*J112)/(M112*N112*O112),0)-Q112,"0")&amp;" luminaria(s)",IF((Q112*M112*N112*O112)/E112&gt;IF(IFERROR(VLOOKUP(D112,NBR!$C:$F,4,0),J112)=IFERROR(VLOOKUP(D112,NBR!$C:$D,2,0),J112),J112*1.2,IFERROR(VLOOKUP(D112,NBR!$C:$F,4,0),J112*1.2)),IF(Q112=1,"Reduzir potencia luminaria","RETIRAR -"&amp;TEXT(Q112-ROUNDUP((E112*IF(IFERROR(VLOOKUP(D112,NBR!$C:$F,4,0),J112)=J112,J112*1.2,IFERROR(VLOOKUP(D112,NBR!$C:$F,4,0),J112*1.2)))/(M112*N112*O112),0),"0")&amp;" luminaria(s)"),"OK")))</f>
        <v>#VALUE!</v>
      </c>
      <c r="V112" s="48" t="e">
        <f t="shared" si="6"/>
        <v>#VALUE!</v>
      </c>
      <c r="W112" s="57"/>
      <c r="X112" s="55"/>
      <c r="Y112" s="56"/>
      <c r="AA112" s="34"/>
      <c r="AB112" s="34"/>
      <c r="AC112" s="34"/>
      <c r="AD112" s="34"/>
    </row>
    <row r="113" spans="1:30" ht="18" customHeight="1" x14ac:dyDescent="0.25">
      <c r="A113" s="85"/>
      <c r="B113" s="85"/>
      <c r="C113" s="58"/>
      <c r="D113" s="59"/>
      <c r="E113" s="50" t="str">
        <f t="shared" si="11"/>
        <v/>
      </c>
      <c r="F113" s="50"/>
      <c r="G113" s="51"/>
      <c r="H113" s="51"/>
      <c r="I113" s="51"/>
      <c r="J113" s="44" t="str">
        <f>IFERROR(VLOOKUP(D113,NBR!$C:$E,3,0),"")</f>
        <v/>
      </c>
      <c r="K113" s="50" t="e">
        <f t="shared" si="10"/>
        <v>#VALUE!</v>
      </c>
      <c r="L113" s="82"/>
      <c r="M113" s="46" t="str">
        <f>IFERROR(VLOOKUP(L113,LAMPADAS!$A:$B,2,0),"")</f>
        <v/>
      </c>
      <c r="N113" s="51"/>
      <c r="O113" s="51"/>
      <c r="P113" s="50" t="str">
        <f t="shared" si="7"/>
        <v/>
      </c>
      <c r="Q113" s="31"/>
      <c r="R113" s="47" t="str">
        <f>IFERROR(VLOOKUP(L113,#REF!,4,0),"")</f>
        <v/>
      </c>
      <c r="S113" s="53" t="str">
        <f t="shared" si="8"/>
        <v/>
      </c>
      <c r="T113" s="54" t="e">
        <f t="shared" si="9"/>
        <v>#VALUE!</v>
      </c>
      <c r="U113" s="22" t="e">
        <f>IF(E113*J113*M113=0,"",IF((Q113*M113*N113*O113)/E113&lt;IF(IFERROR(VLOOKUP(D113,NBR!$C:$D,2,0),J113)=IFERROR(VLOOKUP(D113,NBR!$C:$F,4,0),J113),J113*0.9,IFERROR(VLOOKUP(D113,NBR!$C:$D,2,0),J113*0.9)),"COLOCAR +"&amp;TEXT(ROUNDUP((E113*J113)/(M113*N113*O113),0)-Q113,"0")&amp;" luminaria(s)",IF((Q113*M113*N113*O113)/E113&gt;IF(IFERROR(VLOOKUP(D113,NBR!$C:$F,4,0),J113)=IFERROR(VLOOKUP(D113,NBR!$C:$D,2,0),J113),J113*1.2,IFERROR(VLOOKUP(D113,NBR!$C:$F,4,0),J113*1.2)),IF(Q113=1,"Reduzir potencia luminaria","RETIRAR -"&amp;TEXT(Q113-ROUNDUP((E113*IF(IFERROR(VLOOKUP(D113,NBR!$C:$F,4,0),J113)=J113,J113*1.2,IFERROR(VLOOKUP(D113,NBR!$C:$F,4,0),J113*1.2)))/(M113*N113*O113),0),"0")&amp;" luminaria(s)"),"OK")))</f>
        <v>#VALUE!</v>
      </c>
      <c r="V113" s="52" t="e">
        <f t="shared" si="6"/>
        <v>#VALUE!</v>
      </c>
      <c r="W113" s="60"/>
      <c r="X113" s="60"/>
      <c r="Y113" s="60"/>
      <c r="AA113" s="61"/>
      <c r="AB113" s="34"/>
      <c r="AC113" s="34"/>
      <c r="AD113" s="34"/>
    </row>
    <row r="114" spans="1:30" ht="18" customHeight="1" x14ac:dyDescent="0.25">
      <c r="A114" s="86"/>
      <c r="B114" s="86"/>
      <c r="C114" s="83"/>
      <c r="D114" s="17"/>
      <c r="E114" s="43" t="str">
        <f t="shared" si="11"/>
        <v/>
      </c>
      <c r="F114" s="43"/>
      <c r="G114" s="27"/>
      <c r="H114" s="27"/>
      <c r="I114" s="27"/>
      <c r="J114" s="44" t="str">
        <f>IFERROR(VLOOKUP(D114,NBR!$C:$E,3,0),"")</f>
        <v/>
      </c>
      <c r="K114" s="43" t="e">
        <f t="shared" si="10"/>
        <v>#VALUE!</v>
      </c>
      <c r="L114" s="45"/>
      <c r="M114" s="46" t="str">
        <f>IFERROR(VLOOKUP(L114,LAMPADAS!$A:$B,2,0),"")</f>
        <v/>
      </c>
      <c r="N114" s="27"/>
      <c r="O114" s="27"/>
      <c r="P114" s="45" t="str">
        <f t="shared" si="7"/>
        <v/>
      </c>
      <c r="Q114" s="29"/>
      <c r="R114" s="47" t="str">
        <f>IFERROR(VLOOKUP(L114,#REF!,4,0),"")</f>
        <v/>
      </c>
      <c r="S114" s="48" t="str">
        <f t="shared" si="8"/>
        <v/>
      </c>
      <c r="T114" s="49" t="e">
        <f t="shared" si="9"/>
        <v>#VALUE!</v>
      </c>
      <c r="U114" s="17" t="e">
        <f>IF(E114*J114*M114=0,"",IF((Q114*M114*N114*O114)/E114&lt;IF(IFERROR(VLOOKUP(D114,NBR!$C:$D,2,0),J114)=IFERROR(VLOOKUP(D114,NBR!$C:$F,4,0),J114),J114*0.9,IFERROR(VLOOKUP(D114,NBR!$C:$D,2,0),J114*0.9)),"COLOCAR +"&amp;TEXT(ROUNDUP((E114*J114)/(M114*N114*O114),0)-Q114,"0")&amp;" luminaria(s)",IF((Q114*M114*N114*O114)/E114&gt;IF(IFERROR(VLOOKUP(D114,NBR!$C:$F,4,0),J114)=IFERROR(VLOOKUP(D114,NBR!$C:$D,2,0),J114),J114*1.2,IFERROR(VLOOKUP(D114,NBR!$C:$F,4,0),J114*1.2)),IF(Q114=1,"Reduzir potencia luminaria","RETIRAR -"&amp;TEXT(Q114-ROUNDUP((E114*IF(IFERROR(VLOOKUP(D114,NBR!$C:$F,4,0),J114)=J114,J114*1.2,IFERROR(VLOOKUP(D114,NBR!$C:$F,4,0),J114*1.2)))/(M114*N114*O114),0),"0")&amp;" luminaria(s)"),"OK")))</f>
        <v>#VALUE!</v>
      </c>
      <c r="V114" s="48" t="e">
        <f t="shared" si="6"/>
        <v>#VALUE!</v>
      </c>
      <c r="W114" s="57"/>
      <c r="X114" s="55"/>
      <c r="Y114" s="56"/>
      <c r="AA114" s="34"/>
      <c r="AB114" s="34"/>
      <c r="AC114" s="34"/>
      <c r="AD114" s="34"/>
    </row>
    <row r="115" spans="1:30" ht="18" customHeight="1" x14ac:dyDescent="0.25">
      <c r="A115" s="85"/>
      <c r="B115" s="85"/>
      <c r="C115" s="58"/>
      <c r="D115" s="59"/>
      <c r="E115" s="50" t="str">
        <f t="shared" si="11"/>
        <v/>
      </c>
      <c r="F115" s="50"/>
      <c r="G115" s="51"/>
      <c r="H115" s="51"/>
      <c r="I115" s="51"/>
      <c r="J115" s="44" t="str">
        <f>IFERROR(VLOOKUP(D115,NBR!$C:$E,3,0),"")</f>
        <v/>
      </c>
      <c r="K115" s="50" t="e">
        <f t="shared" si="10"/>
        <v>#VALUE!</v>
      </c>
      <c r="L115" s="82"/>
      <c r="M115" s="46" t="str">
        <f>IFERROR(VLOOKUP(L115,LAMPADAS!$A:$B,2,0),"")</f>
        <v/>
      </c>
      <c r="N115" s="51"/>
      <c r="O115" s="51"/>
      <c r="P115" s="50" t="str">
        <f t="shared" si="7"/>
        <v/>
      </c>
      <c r="Q115" s="31"/>
      <c r="R115" s="47" t="str">
        <f>IFERROR(VLOOKUP(L115,#REF!,4,0),"")</f>
        <v/>
      </c>
      <c r="S115" s="53" t="str">
        <f t="shared" si="8"/>
        <v/>
      </c>
      <c r="T115" s="54" t="e">
        <f t="shared" si="9"/>
        <v>#VALUE!</v>
      </c>
      <c r="U115" s="22" t="e">
        <f>IF(E115*J115*M115=0,"",IF((Q115*M115*N115*O115)/E115&lt;IF(IFERROR(VLOOKUP(D115,NBR!$C:$D,2,0),J115)=IFERROR(VLOOKUP(D115,NBR!$C:$F,4,0),J115),J115*0.9,IFERROR(VLOOKUP(D115,NBR!$C:$D,2,0),J115*0.9)),"COLOCAR +"&amp;TEXT(ROUNDUP((E115*J115)/(M115*N115*O115),0)-Q115,"0")&amp;" luminaria(s)",IF((Q115*M115*N115*O115)/E115&gt;IF(IFERROR(VLOOKUP(D115,NBR!$C:$F,4,0),J115)=IFERROR(VLOOKUP(D115,NBR!$C:$D,2,0),J115),J115*1.2,IFERROR(VLOOKUP(D115,NBR!$C:$F,4,0),J115*1.2)),IF(Q115=1,"Reduzir potencia luminaria","RETIRAR -"&amp;TEXT(Q115-ROUNDUP((E115*IF(IFERROR(VLOOKUP(D115,NBR!$C:$F,4,0),J115)=J115,J115*1.2,IFERROR(VLOOKUP(D115,NBR!$C:$F,4,0),J115*1.2)))/(M115*N115*O115),0),"0")&amp;" luminaria(s)"),"OK")))</f>
        <v>#VALUE!</v>
      </c>
      <c r="V115" s="52" t="e">
        <f t="shared" si="6"/>
        <v>#VALUE!</v>
      </c>
      <c r="W115" s="60"/>
      <c r="X115" s="60"/>
      <c r="Y115" s="60"/>
      <c r="AA115" s="61"/>
      <c r="AB115" s="34"/>
      <c r="AC115" s="34"/>
      <c r="AD115" s="34"/>
    </row>
    <row r="116" spans="1:30" ht="18" customHeight="1" x14ac:dyDescent="0.25">
      <c r="A116" s="86"/>
      <c r="B116" s="86"/>
      <c r="C116" s="83"/>
      <c r="D116" s="17"/>
      <c r="E116" s="43" t="str">
        <f t="shared" si="11"/>
        <v/>
      </c>
      <c r="F116" s="43"/>
      <c r="G116" s="27"/>
      <c r="H116" s="27"/>
      <c r="I116" s="27"/>
      <c r="J116" s="44" t="str">
        <f>IFERROR(VLOOKUP(D116,NBR!$C:$E,3,0),"")</f>
        <v/>
      </c>
      <c r="K116" s="43" t="e">
        <f t="shared" si="10"/>
        <v>#VALUE!</v>
      </c>
      <c r="L116" s="45"/>
      <c r="M116" s="46" t="str">
        <f>IFERROR(VLOOKUP(L116,LAMPADAS!$A:$B,2,0),"")</f>
        <v/>
      </c>
      <c r="N116" s="27"/>
      <c r="O116" s="27"/>
      <c r="P116" s="45" t="str">
        <f t="shared" si="7"/>
        <v/>
      </c>
      <c r="Q116" s="29"/>
      <c r="R116" s="47" t="str">
        <f>IFERROR(VLOOKUP(L116,#REF!,4,0),"")</f>
        <v/>
      </c>
      <c r="S116" s="48" t="str">
        <f t="shared" si="8"/>
        <v/>
      </c>
      <c r="T116" s="49" t="e">
        <f t="shared" si="9"/>
        <v>#VALUE!</v>
      </c>
      <c r="U116" s="17" t="e">
        <f>IF(E116*J116*M116=0,"",IF((Q116*M116*N116*O116)/E116&lt;IF(IFERROR(VLOOKUP(D116,NBR!$C:$D,2,0),J116)=IFERROR(VLOOKUP(D116,NBR!$C:$F,4,0),J116),J116*0.9,IFERROR(VLOOKUP(D116,NBR!$C:$D,2,0),J116*0.9)),"COLOCAR +"&amp;TEXT(ROUNDUP((E116*J116)/(M116*N116*O116),0)-Q116,"0")&amp;" luminaria(s)",IF((Q116*M116*N116*O116)/E116&gt;IF(IFERROR(VLOOKUP(D116,NBR!$C:$F,4,0),J116)=IFERROR(VLOOKUP(D116,NBR!$C:$D,2,0),J116),J116*1.2,IFERROR(VLOOKUP(D116,NBR!$C:$F,4,0),J116*1.2)),IF(Q116=1,"Reduzir potencia luminaria","RETIRAR -"&amp;TEXT(Q116-ROUNDUP((E116*IF(IFERROR(VLOOKUP(D116,NBR!$C:$F,4,0),J116)=J116,J116*1.2,IFERROR(VLOOKUP(D116,NBR!$C:$F,4,0),J116*1.2)))/(M116*N116*O116),0),"0")&amp;" luminaria(s)"),"OK")))</f>
        <v>#VALUE!</v>
      </c>
      <c r="V116" s="48" t="e">
        <f t="shared" si="6"/>
        <v>#VALUE!</v>
      </c>
      <c r="W116" s="57"/>
      <c r="X116" s="55"/>
      <c r="Y116" s="56"/>
      <c r="AA116" s="34"/>
      <c r="AB116" s="34"/>
      <c r="AC116" s="34"/>
      <c r="AD116" s="34"/>
    </row>
    <row r="117" spans="1:30" ht="18" customHeight="1" x14ac:dyDescent="0.25">
      <c r="A117" s="85"/>
      <c r="B117" s="85"/>
      <c r="C117" s="58"/>
      <c r="D117" s="59"/>
      <c r="E117" s="50" t="str">
        <f t="shared" si="11"/>
        <v/>
      </c>
      <c r="F117" s="50"/>
      <c r="G117" s="51"/>
      <c r="H117" s="51"/>
      <c r="I117" s="51"/>
      <c r="J117" s="44" t="str">
        <f>IFERROR(VLOOKUP(D117,NBR!$C:$E,3,0),"")</f>
        <v/>
      </c>
      <c r="K117" s="50" t="e">
        <f t="shared" si="10"/>
        <v>#VALUE!</v>
      </c>
      <c r="L117" s="82"/>
      <c r="M117" s="46" t="str">
        <f>IFERROR(VLOOKUP(L117,LAMPADAS!$A:$B,2,0),"")</f>
        <v/>
      </c>
      <c r="N117" s="51"/>
      <c r="O117" s="51"/>
      <c r="P117" s="50" t="str">
        <f t="shared" si="7"/>
        <v/>
      </c>
      <c r="Q117" s="31"/>
      <c r="R117" s="47" t="str">
        <f>IFERROR(VLOOKUP(L117,#REF!,4,0),"")</f>
        <v/>
      </c>
      <c r="S117" s="53" t="str">
        <f t="shared" si="8"/>
        <v/>
      </c>
      <c r="T117" s="54" t="e">
        <f t="shared" si="9"/>
        <v>#VALUE!</v>
      </c>
      <c r="U117" s="22" t="e">
        <f>IF(E117*J117*M117=0,"",IF((Q117*M117*N117*O117)/E117&lt;IF(IFERROR(VLOOKUP(D117,NBR!$C:$D,2,0),J117)=IFERROR(VLOOKUP(D117,NBR!$C:$F,4,0),J117),J117*0.9,IFERROR(VLOOKUP(D117,NBR!$C:$D,2,0),J117*0.9)),"COLOCAR +"&amp;TEXT(ROUNDUP((E117*J117)/(M117*N117*O117),0)-Q117,"0")&amp;" luminaria(s)",IF((Q117*M117*N117*O117)/E117&gt;IF(IFERROR(VLOOKUP(D117,NBR!$C:$F,4,0),J117)=IFERROR(VLOOKUP(D117,NBR!$C:$D,2,0),J117),J117*1.2,IFERROR(VLOOKUP(D117,NBR!$C:$F,4,0),J117*1.2)),IF(Q117=1,"Reduzir potencia luminaria","RETIRAR -"&amp;TEXT(Q117-ROUNDUP((E117*IF(IFERROR(VLOOKUP(D117,NBR!$C:$F,4,0),J117)=J117,J117*1.2,IFERROR(VLOOKUP(D117,NBR!$C:$F,4,0),J117*1.2)))/(M117*N117*O117),0),"0")&amp;" luminaria(s)"),"OK")))</f>
        <v>#VALUE!</v>
      </c>
      <c r="V117" s="52" t="e">
        <f t="shared" si="6"/>
        <v>#VALUE!</v>
      </c>
      <c r="W117" s="60"/>
      <c r="X117" s="60"/>
      <c r="Y117" s="60"/>
      <c r="AA117" s="61"/>
      <c r="AB117" s="34"/>
      <c r="AC117" s="34"/>
      <c r="AD117" s="34"/>
    </row>
    <row r="118" spans="1:30" ht="18" customHeight="1" x14ac:dyDescent="0.25">
      <c r="A118" s="86"/>
      <c r="B118" s="86"/>
      <c r="C118" s="83"/>
      <c r="D118" s="17"/>
      <c r="E118" s="43" t="str">
        <f t="shared" si="11"/>
        <v/>
      </c>
      <c r="F118" s="43"/>
      <c r="G118" s="27"/>
      <c r="H118" s="27"/>
      <c r="I118" s="27"/>
      <c r="J118" s="44" t="str">
        <f>IFERROR(VLOOKUP(D118,NBR!$C:$E,3,0),"")</f>
        <v/>
      </c>
      <c r="K118" s="43" t="e">
        <f t="shared" si="10"/>
        <v>#VALUE!</v>
      </c>
      <c r="L118" s="45"/>
      <c r="M118" s="46" t="str">
        <f>IFERROR(VLOOKUP(L118,LAMPADAS!$A:$B,2,0),"")</f>
        <v/>
      </c>
      <c r="N118" s="27"/>
      <c r="O118" s="27"/>
      <c r="P118" s="45" t="str">
        <f t="shared" si="7"/>
        <v/>
      </c>
      <c r="Q118" s="29"/>
      <c r="R118" s="47" t="str">
        <f>IFERROR(VLOOKUP(L118,#REF!,4,0),"")</f>
        <v/>
      </c>
      <c r="S118" s="48" t="str">
        <f t="shared" si="8"/>
        <v/>
      </c>
      <c r="T118" s="49" t="e">
        <f t="shared" si="9"/>
        <v>#VALUE!</v>
      </c>
      <c r="U118" s="17" t="e">
        <f>IF(E118*J118*M118=0,"",IF((Q118*M118*N118*O118)/E118&lt;IF(IFERROR(VLOOKUP(D118,NBR!$C:$D,2,0),J118)=IFERROR(VLOOKUP(D118,NBR!$C:$F,4,0),J118),J118*0.9,IFERROR(VLOOKUP(D118,NBR!$C:$D,2,0),J118*0.9)),"COLOCAR +"&amp;TEXT(ROUNDUP((E118*J118)/(M118*N118*O118),0)-Q118,"0")&amp;" luminaria(s)",IF((Q118*M118*N118*O118)/E118&gt;IF(IFERROR(VLOOKUP(D118,NBR!$C:$F,4,0),J118)=IFERROR(VLOOKUP(D118,NBR!$C:$D,2,0),J118),J118*1.2,IFERROR(VLOOKUP(D118,NBR!$C:$F,4,0),J118*1.2)),IF(Q118=1,"Reduzir potencia luminaria","RETIRAR -"&amp;TEXT(Q118-ROUNDUP((E118*IF(IFERROR(VLOOKUP(D118,NBR!$C:$F,4,0),J118)=J118,J118*1.2,IFERROR(VLOOKUP(D118,NBR!$C:$F,4,0),J118*1.2)))/(M118*N118*O118),0),"0")&amp;" luminaria(s)"),"OK")))</f>
        <v>#VALUE!</v>
      </c>
      <c r="V118" s="48" t="e">
        <f t="shared" si="6"/>
        <v>#VALUE!</v>
      </c>
      <c r="W118" s="57"/>
      <c r="X118" s="55"/>
      <c r="Y118" s="56"/>
      <c r="AA118" s="34"/>
      <c r="AB118" s="34"/>
      <c r="AC118" s="34"/>
      <c r="AD118" s="34"/>
    </row>
    <row r="119" spans="1:30" ht="18" customHeight="1" x14ac:dyDescent="0.25">
      <c r="A119" s="85"/>
      <c r="B119" s="85"/>
      <c r="C119" s="58"/>
      <c r="D119" s="59"/>
      <c r="E119" s="50" t="str">
        <f t="shared" si="11"/>
        <v/>
      </c>
      <c r="F119" s="50"/>
      <c r="G119" s="51"/>
      <c r="H119" s="51"/>
      <c r="I119" s="51"/>
      <c r="J119" s="44" t="str">
        <f>IFERROR(VLOOKUP(D119,NBR!$C:$E,3,0),"")</f>
        <v/>
      </c>
      <c r="K119" s="50" t="e">
        <f t="shared" si="10"/>
        <v>#VALUE!</v>
      </c>
      <c r="L119" s="82"/>
      <c r="M119" s="46" t="str">
        <f>IFERROR(VLOOKUP(L119,LAMPADAS!$A:$B,2,0),"")</f>
        <v/>
      </c>
      <c r="N119" s="51"/>
      <c r="O119" s="51"/>
      <c r="P119" s="50" t="str">
        <f t="shared" si="7"/>
        <v/>
      </c>
      <c r="Q119" s="31"/>
      <c r="R119" s="47" t="str">
        <f>IFERROR(VLOOKUP(L119,#REF!,4,0),"")</f>
        <v/>
      </c>
      <c r="S119" s="53" t="str">
        <f t="shared" si="8"/>
        <v/>
      </c>
      <c r="T119" s="54" t="e">
        <f t="shared" si="9"/>
        <v>#VALUE!</v>
      </c>
      <c r="U119" s="22" t="e">
        <f>IF(E119*J119*M119=0,"",IF((Q119*M119*N119*O119)/E119&lt;IF(IFERROR(VLOOKUP(D119,NBR!$C:$D,2,0),J119)=IFERROR(VLOOKUP(D119,NBR!$C:$F,4,0),J119),J119*0.9,IFERROR(VLOOKUP(D119,NBR!$C:$D,2,0),J119*0.9)),"COLOCAR +"&amp;TEXT(ROUNDUP((E119*J119)/(M119*N119*O119),0)-Q119,"0")&amp;" luminaria(s)",IF((Q119*M119*N119*O119)/E119&gt;IF(IFERROR(VLOOKUP(D119,NBR!$C:$F,4,0),J119)=IFERROR(VLOOKUP(D119,NBR!$C:$D,2,0),J119),J119*1.2,IFERROR(VLOOKUP(D119,NBR!$C:$F,4,0),J119*1.2)),IF(Q119=1,"Reduzir potencia luminaria","RETIRAR -"&amp;TEXT(Q119-ROUNDUP((E119*IF(IFERROR(VLOOKUP(D119,NBR!$C:$F,4,0),J119)=J119,J119*1.2,IFERROR(VLOOKUP(D119,NBR!$C:$F,4,0),J119*1.2)))/(M119*N119*O119),0),"0")&amp;" luminaria(s)"),"OK")))</f>
        <v>#VALUE!</v>
      </c>
      <c r="V119" s="52" t="e">
        <f t="shared" si="6"/>
        <v>#VALUE!</v>
      </c>
      <c r="W119" s="60"/>
      <c r="X119" s="60"/>
      <c r="Y119" s="60"/>
      <c r="AA119" s="61"/>
      <c r="AB119" s="34"/>
      <c r="AC119" s="34"/>
      <c r="AD119" s="34"/>
    </row>
    <row r="120" spans="1:30" ht="18" customHeight="1" x14ac:dyDescent="0.25">
      <c r="A120" s="86"/>
      <c r="B120" s="86"/>
      <c r="C120" s="83"/>
      <c r="D120" s="17"/>
      <c r="E120" s="43" t="str">
        <f t="shared" si="11"/>
        <v/>
      </c>
      <c r="F120" s="43"/>
      <c r="G120" s="27"/>
      <c r="H120" s="27"/>
      <c r="I120" s="27"/>
      <c r="J120" s="44" t="str">
        <f>IFERROR(VLOOKUP(D120,NBR!$C:$E,3,0),"")</f>
        <v/>
      </c>
      <c r="K120" s="43" t="e">
        <f t="shared" si="10"/>
        <v>#VALUE!</v>
      </c>
      <c r="L120" s="45"/>
      <c r="M120" s="46" t="str">
        <f>IFERROR(VLOOKUP(L120,LAMPADAS!$A:$B,2,0),"")</f>
        <v/>
      </c>
      <c r="N120" s="27"/>
      <c r="O120" s="27"/>
      <c r="P120" s="45" t="str">
        <f t="shared" si="7"/>
        <v/>
      </c>
      <c r="Q120" s="29"/>
      <c r="R120" s="47" t="str">
        <f>IFERROR(VLOOKUP(L120,#REF!,4,0),"")</f>
        <v/>
      </c>
      <c r="S120" s="48" t="str">
        <f t="shared" si="8"/>
        <v/>
      </c>
      <c r="T120" s="49" t="e">
        <f t="shared" si="9"/>
        <v>#VALUE!</v>
      </c>
      <c r="U120" s="17" t="e">
        <f>IF(E120*J120*M120=0,"",IF((Q120*M120*N120*O120)/E120&lt;IF(IFERROR(VLOOKUP(D120,NBR!$C:$D,2,0),J120)=IFERROR(VLOOKUP(D120,NBR!$C:$F,4,0),J120),J120*0.9,IFERROR(VLOOKUP(D120,NBR!$C:$D,2,0),J120*0.9)),"COLOCAR +"&amp;TEXT(ROUNDUP((E120*J120)/(M120*N120*O120),0)-Q120,"0")&amp;" luminaria(s)",IF((Q120*M120*N120*O120)/E120&gt;IF(IFERROR(VLOOKUP(D120,NBR!$C:$F,4,0),J120)=IFERROR(VLOOKUP(D120,NBR!$C:$D,2,0),J120),J120*1.2,IFERROR(VLOOKUP(D120,NBR!$C:$F,4,0),J120*1.2)),IF(Q120=1,"Reduzir potencia luminaria","RETIRAR -"&amp;TEXT(Q120-ROUNDUP((E120*IF(IFERROR(VLOOKUP(D120,NBR!$C:$F,4,0),J120)=J120,J120*1.2,IFERROR(VLOOKUP(D120,NBR!$C:$F,4,0),J120*1.2)))/(M120*N120*O120),0),"0")&amp;" luminaria(s)"),"OK")))</f>
        <v>#VALUE!</v>
      </c>
      <c r="V120" s="48" t="e">
        <f t="shared" si="6"/>
        <v>#VALUE!</v>
      </c>
      <c r="W120" s="57"/>
      <c r="X120" s="55"/>
      <c r="Y120" s="56"/>
      <c r="AA120" s="34"/>
      <c r="AB120" s="34"/>
      <c r="AC120" s="34"/>
      <c r="AD120" s="34"/>
    </row>
    <row r="121" spans="1:30" ht="18" customHeight="1" x14ac:dyDescent="0.25">
      <c r="A121" s="85"/>
      <c r="B121" s="85"/>
      <c r="C121" s="58"/>
      <c r="D121" s="59"/>
      <c r="E121" s="50" t="str">
        <f t="shared" si="11"/>
        <v/>
      </c>
      <c r="F121" s="50"/>
      <c r="G121" s="51"/>
      <c r="H121" s="51"/>
      <c r="I121" s="51"/>
      <c r="J121" s="44" t="str">
        <f>IFERROR(VLOOKUP(D121,NBR!$C:$E,3,0),"")</f>
        <v/>
      </c>
      <c r="K121" s="50" t="e">
        <f t="shared" si="10"/>
        <v>#VALUE!</v>
      </c>
      <c r="L121" s="82"/>
      <c r="M121" s="46" t="str">
        <f>IFERROR(VLOOKUP(L121,LAMPADAS!$A:$B,2,0),"")</f>
        <v/>
      </c>
      <c r="N121" s="51"/>
      <c r="O121" s="51"/>
      <c r="P121" s="50" t="str">
        <f t="shared" si="7"/>
        <v/>
      </c>
      <c r="Q121" s="31"/>
      <c r="R121" s="47" t="str">
        <f>IFERROR(VLOOKUP(L121,#REF!,4,0),"")</f>
        <v/>
      </c>
      <c r="S121" s="53" t="str">
        <f t="shared" si="8"/>
        <v/>
      </c>
      <c r="T121" s="54" t="e">
        <f t="shared" si="9"/>
        <v>#VALUE!</v>
      </c>
      <c r="U121" s="22" t="e">
        <f>IF(E121*J121*M121=0,"",IF((Q121*M121*N121*O121)/E121&lt;IF(IFERROR(VLOOKUP(D121,NBR!$C:$D,2,0),J121)=IFERROR(VLOOKUP(D121,NBR!$C:$F,4,0),J121),J121*0.9,IFERROR(VLOOKUP(D121,NBR!$C:$D,2,0),J121*0.9)),"COLOCAR +"&amp;TEXT(ROUNDUP((E121*J121)/(M121*N121*O121),0)-Q121,"0")&amp;" luminaria(s)",IF((Q121*M121*N121*O121)/E121&gt;IF(IFERROR(VLOOKUP(D121,NBR!$C:$F,4,0),J121)=IFERROR(VLOOKUP(D121,NBR!$C:$D,2,0),J121),J121*1.2,IFERROR(VLOOKUP(D121,NBR!$C:$F,4,0),J121*1.2)),IF(Q121=1,"Reduzir potencia luminaria","RETIRAR -"&amp;TEXT(Q121-ROUNDUP((E121*IF(IFERROR(VLOOKUP(D121,NBR!$C:$F,4,0),J121)=J121,J121*1.2,IFERROR(VLOOKUP(D121,NBR!$C:$F,4,0),J121*1.2)))/(M121*N121*O121),0),"0")&amp;" luminaria(s)"),"OK")))</f>
        <v>#VALUE!</v>
      </c>
      <c r="V121" s="52" t="e">
        <f t="shared" si="6"/>
        <v>#VALUE!</v>
      </c>
      <c r="W121" s="60"/>
      <c r="X121" s="60"/>
      <c r="Y121" s="60"/>
      <c r="AA121" s="61"/>
      <c r="AB121" s="34"/>
      <c r="AC121" s="34"/>
      <c r="AD121" s="34"/>
    </row>
    <row r="122" spans="1:30" ht="18" customHeight="1" x14ac:dyDescent="0.25">
      <c r="A122" s="86"/>
      <c r="B122" s="86"/>
      <c r="C122" s="83"/>
      <c r="D122" s="17"/>
      <c r="E122" s="43" t="str">
        <f t="shared" si="11"/>
        <v/>
      </c>
      <c r="F122" s="43"/>
      <c r="G122" s="27"/>
      <c r="H122" s="27"/>
      <c r="I122" s="27"/>
      <c r="J122" s="44" t="str">
        <f>IFERROR(VLOOKUP(D122,NBR!$C:$E,3,0),"")</f>
        <v/>
      </c>
      <c r="K122" s="43" t="e">
        <f t="shared" si="10"/>
        <v>#VALUE!</v>
      </c>
      <c r="L122" s="45"/>
      <c r="M122" s="46" t="str">
        <f>IFERROR(VLOOKUP(L122,LAMPADAS!$A:$B,2,0),"")</f>
        <v/>
      </c>
      <c r="N122" s="27"/>
      <c r="O122" s="27"/>
      <c r="P122" s="45" t="str">
        <f t="shared" si="7"/>
        <v/>
      </c>
      <c r="Q122" s="29"/>
      <c r="R122" s="47" t="str">
        <f>IFERROR(VLOOKUP(L122,#REF!,4,0),"")</f>
        <v/>
      </c>
      <c r="S122" s="48" t="str">
        <f t="shared" si="8"/>
        <v/>
      </c>
      <c r="T122" s="49" t="e">
        <f t="shared" si="9"/>
        <v>#VALUE!</v>
      </c>
      <c r="U122" s="17" t="e">
        <f>IF(E122*J122*M122=0,"",IF((Q122*M122*N122*O122)/E122&lt;IF(IFERROR(VLOOKUP(D122,NBR!$C:$D,2,0),J122)=IFERROR(VLOOKUP(D122,NBR!$C:$F,4,0),J122),J122*0.9,IFERROR(VLOOKUP(D122,NBR!$C:$D,2,0),J122*0.9)),"COLOCAR +"&amp;TEXT(ROUNDUP((E122*J122)/(M122*N122*O122),0)-Q122,"0")&amp;" luminaria(s)",IF((Q122*M122*N122*O122)/E122&gt;IF(IFERROR(VLOOKUP(D122,NBR!$C:$F,4,0),J122)=IFERROR(VLOOKUP(D122,NBR!$C:$D,2,0),J122),J122*1.2,IFERROR(VLOOKUP(D122,NBR!$C:$F,4,0),J122*1.2)),IF(Q122=1,"Reduzir potencia luminaria","RETIRAR -"&amp;TEXT(Q122-ROUNDUP((E122*IF(IFERROR(VLOOKUP(D122,NBR!$C:$F,4,0),J122)=J122,J122*1.2,IFERROR(VLOOKUP(D122,NBR!$C:$F,4,0),J122*1.2)))/(M122*N122*O122),0),"0")&amp;" luminaria(s)"),"OK")))</f>
        <v>#VALUE!</v>
      </c>
      <c r="V122" s="48" t="e">
        <f t="shared" si="6"/>
        <v>#VALUE!</v>
      </c>
      <c r="W122" s="57"/>
      <c r="X122" s="55"/>
      <c r="Y122" s="56"/>
      <c r="AA122" s="34"/>
      <c r="AB122" s="34"/>
      <c r="AC122" s="34"/>
      <c r="AD122" s="34"/>
    </row>
    <row r="123" spans="1:30" ht="18" customHeight="1" x14ac:dyDescent="0.25">
      <c r="A123" s="85"/>
      <c r="B123" s="85"/>
      <c r="C123" s="58"/>
      <c r="D123" s="59"/>
      <c r="E123" s="50" t="str">
        <f t="shared" si="11"/>
        <v/>
      </c>
      <c r="F123" s="50"/>
      <c r="G123" s="51"/>
      <c r="H123" s="51"/>
      <c r="I123" s="51"/>
      <c r="J123" s="44" t="str">
        <f>IFERROR(VLOOKUP(D123,NBR!$C:$E,3,0),"")</f>
        <v/>
      </c>
      <c r="K123" s="50" t="e">
        <f t="shared" si="10"/>
        <v>#VALUE!</v>
      </c>
      <c r="L123" s="82"/>
      <c r="M123" s="46" t="str">
        <f>IFERROR(VLOOKUP(L123,LAMPADAS!$A:$B,2,0),"")</f>
        <v/>
      </c>
      <c r="N123" s="51"/>
      <c r="O123" s="51"/>
      <c r="P123" s="50" t="str">
        <f t="shared" si="7"/>
        <v/>
      </c>
      <c r="Q123" s="31"/>
      <c r="R123" s="47" t="str">
        <f>IFERROR(VLOOKUP(L123,#REF!,4,0),"")</f>
        <v/>
      </c>
      <c r="S123" s="53" t="str">
        <f t="shared" si="8"/>
        <v/>
      </c>
      <c r="T123" s="54" t="e">
        <f t="shared" si="9"/>
        <v>#VALUE!</v>
      </c>
      <c r="U123" s="22" t="e">
        <f>IF(E123*J123*M123=0,"",IF((Q123*M123*N123*O123)/E123&lt;IF(IFERROR(VLOOKUP(D123,NBR!$C:$D,2,0),J123)=IFERROR(VLOOKUP(D123,NBR!$C:$F,4,0),J123),J123*0.9,IFERROR(VLOOKUP(D123,NBR!$C:$D,2,0),J123*0.9)),"COLOCAR +"&amp;TEXT(ROUNDUP((E123*J123)/(M123*N123*O123),0)-Q123,"0")&amp;" luminaria(s)",IF((Q123*M123*N123*O123)/E123&gt;IF(IFERROR(VLOOKUP(D123,NBR!$C:$F,4,0),J123)=IFERROR(VLOOKUP(D123,NBR!$C:$D,2,0),J123),J123*1.2,IFERROR(VLOOKUP(D123,NBR!$C:$F,4,0),J123*1.2)),IF(Q123=1,"Reduzir potencia luminaria","RETIRAR -"&amp;TEXT(Q123-ROUNDUP((E123*IF(IFERROR(VLOOKUP(D123,NBR!$C:$F,4,0),J123)=J123,J123*1.2,IFERROR(VLOOKUP(D123,NBR!$C:$F,4,0),J123*1.2)))/(M123*N123*O123),0),"0")&amp;" luminaria(s)"),"OK")))</f>
        <v>#VALUE!</v>
      </c>
      <c r="V123" s="52" t="e">
        <f t="shared" si="6"/>
        <v>#VALUE!</v>
      </c>
      <c r="W123" s="60"/>
      <c r="X123" s="60"/>
      <c r="Y123" s="60"/>
      <c r="AA123" s="61"/>
      <c r="AB123" s="34"/>
      <c r="AC123" s="34"/>
      <c r="AD123" s="34"/>
    </row>
    <row r="124" spans="1:30" ht="18" customHeight="1" x14ac:dyDescent="0.25">
      <c r="A124" s="86"/>
      <c r="B124" s="86"/>
      <c r="C124" s="83"/>
      <c r="D124" s="17"/>
      <c r="E124" s="43" t="str">
        <f t="shared" si="11"/>
        <v/>
      </c>
      <c r="F124" s="43"/>
      <c r="G124" s="27"/>
      <c r="H124" s="27"/>
      <c r="I124" s="27"/>
      <c r="J124" s="44" t="str">
        <f>IFERROR(VLOOKUP(D124,NBR!$C:$E,3,0),"")</f>
        <v/>
      </c>
      <c r="K124" s="43" t="e">
        <f t="shared" si="10"/>
        <v>#VALUE!</v>
      </c>
      <c r="L124" s="45"/>
      <c r="M124" s="46" t="str">
        <f>IFERROR(VLOOKUP(L124,LAMPADAS!$A:$B,2,0),"")</f>
        <v/>
      </c>
      <c r="N124" s="27"/>
      <c r="O124" s="27"/>
      <c r="P124" s="45" t="str">
        <f t="shared" si="7"/>
        <v/>
      </c>
      <c r="Q124" s="29"/>
      <c r="R124" s="47" t="str">
        <f>IFERROR(VLOOKUP(L124,#REF!,4,0),"")</f>
        <v/>
      </c>
      <c r="S124" s="48" t="str">
        <f t="shared" si="8"/>
        <v/>
      </c>
      <c r="T124" s="49" t="e">
        <f t="shared" si="9"/>
        <v>#VALUE!</v>
      </c>
      <c r="U124" s="17" t="e">
        <f>IF(E124*J124*M124=0,"",IF((Q124*M124*N124*O124)/E124&lt;IF(IFERROR(VLOOKUP(D124,NBR!$C:$D,2,0),J124)=IFERROR(VLOOKUP(D124,NBR!$C:$F,4,0),J124),J124*0.9,IFERROR(VLOOKUP(D124,NBR!$C:$D,2,0),J124*0.9)),"COLOCAR +"&amp;TEXT(ROUNDUP((E124*J124)/(M124*N124*O124),0)-Q124,"0")&amp;" luminaria(s)",IF((Q124*M124*N124*O124)/E124&gt;IF(IFERROR(VLOOKUP(D124,NBR!$C:$F,4,0),J124)=IFERROR(VLOOKUP(D124,NBR!$C:$D,2,0),J124),J124*1.2,IFERROR(VLOOKUP(D124,NBR!$C:$F,4,0),J124*1.2)),IF(Q124=1,"Reduzir potencia luminaria","RETIRAR -"&amp;TEXT(Q124-ROUNDUP((E124*IF(IFERROR(VLOOKUP(D124,NBR!$C:$F,4,0),J124)=J124,J124*1.2,IFERROR(VLOOKUP(D124,NBR!$C:$F,4,0),J124*1.2)))/(M124*N124*O124),0),"0")&amp;" luminaria(s)"),"OK")))</f>
        <v>#VALUE!</v>
      </c>
      <c r="V124" s="48" t="e">
        <f t="shared" si="6"/>
        <v>#VALUE!</v>
      </c>
      <c r="W124" s="57"/>
      <c r="X124" s="55"/>
      <c r="Y124" s="56"/>
      <c r="AA124" s="34"/>
      <c r="AB124" s="34"/>
      <c r="AC124" s="34"/>
      <c r="AD124" s="34"/>
    </row>
    <row r="125" spans="1:30" ht="18" customHeight="1" x14ac:dyDescent="0.25">
      <c r="A125" s="85"/>
      <c r="B125" s="85"/>
      <c r="C125" s="58"/>
      <c r="D125" s="59"/>
      <c r="E125" s="50" t="str">
        <f t="shared" si="11"/>
        <v/>
      </c>
      <c r="F125" s="50"/>
      <c r="G125" s="51"/>
      <c r="H125" s="51"/>
      <c r="I125" s="51"/>
      <c r="J125" s="44" t="str">
        <f>IFERROR(VLOOKUP(D125,NBR!$C:$E,3,0),"")</f>
        <v/>
      </c>
      <c r="K125" s="50" t="e">
        <f t="shared" si="10"/>
        <v>#VALUE!</v>
      </c>
      <c r="L125" s="82"/>
      <c r="M125" s="46" t="str">
        <f>IFERROR(VLOOKUP(L125,LAMPADAS!$A:$B,2,0),"")</f>
        <v/>
      </c>
      <c r="N125" s="51"/>
      <c r="O125" s="51"/>
      <c r="P125" s="50" t="str">
        <f t="shared" si="7"/>
        <v/>
      </c>
      <c r="Q125" s="31"/>
      <c r="R125" s="47" t="str">
        <f>IFERROR(VLOOKUP(L125,#REF!,4,0),"")</f>
        <v/>
      </c>
      <c r="S125" s="53" t="str">
        <f t="shared" si="8"/>
        <v/>
      </c>
      <c r="T125" s="54" t="e">
        <f t="shared" si="9"/>
        <v>#VALUE!</v>
      </c>
      <c r="U125" s="22" t="e">
        <f>IF(E125*J125*M125=0,"",IF((Q125*M125*N125*O125)/E125&lt;IF(IFERROR(VLOOKUP(D125,NBR!$C:$D,2,0),J125)=IFERROR(VLOOKUP(D125,NBR!$C:$F,4,0),J125),J125*0.9,IFERROR(VLOOKUP(D125,NBR!$C:$D,2,0),J125*0.9)),"COLOCAR +"&amp;TEXT(ROUNDUP((E125*J125)/(M125*N125*O125),0)-Q125,"0")&amp;" luminaria(s)",IF((Q125*M125*N125*O125)/E125&gt;IF(IFERROR(VLOOKUP(D125,NBR!$C:$F,4,0),J125)=IFERROR(VLOOKUP(D125,NBR!$C:$D,2,0),J125),J125*1.2,IFERROR(VLOOKUP(D125,NBR!$C:$F,4,0),J125*1.2)),IF(Q125=1,"Reduzir potencia luminaria","RETIRAR -"&amp;TEXT(Q125-ROUNDUP((E125*IF(IFERROR(VLOOKUP(D125,NBR!$C:$F,4,0),J125)=J125,J125*1.2,IFERROR(VLOOKUP(D125,NBR!$C:$F,4,0),J125*1.2)))/(M125*N125*O125),0),"0")&amp;" luminaria(s)"),"OK")))</f>
        <v>#VALUE!</v>
      </c>
      <c r="V125" s="52" t="e">
        <f t="shared" si="6"/>
        <v>#VALUE!</v>
      </c>
      <c r="W125" s="60"/>
      <c r="X125" s="60"/>
      <c r="Y125" s="60"/>
      <c r="AA125" s="61"/>
      <c r="AB125" s="34"/>
      <c r="AC125" s="34"/>
      <c r="AD125" s="34"/>
    </row>
    <row r="126" spans="1:30" ht="18" customHeight="1" x14ac:dyDescent="0.25">
      <c r="A126" s="86"/>
      <c r="B126" s="86"/>
      <c r="C126" s="83"/>
      <c r="D126" s="17"/>
      <c r="E126" s="43" t="str">
        <f t="shared" si="11"/>
        <v/>
      </c>
      <c r="F126" s="43"/>
      <c r="G126" s="27"/>
      <c r="H126" s="27"/>
      <c r="I126" s="27"/>
      <c r="J126" s="44" t="str">
        <f>IFERROR(VLOOKUP(D126,NBR!$C:$E,3,0),"")</f>
        <v/>
      </c>
      <c r="K126" s="43" t="e">
        <f t="shared" si="10"/>
        <v>#VALUE!</v>
      </c>
      <c r="L126" s="45"/>
      <c r="M126" s="46" t="str">
        <f>IFERROR(VLOOKUP(L126,LAMPADAS!$A:$B,2,0),"")</f>
        <v/>
      </c>
      <c r="N126" s="27"/>
      <c r="O126" s="27"/>
      <c r="P126" s="45" t="str">
        <f t="shared" si="7"/>
        <v/>
      </c>
      <c r="Q126" s="29"/>
      <c r="R126" s="47" t="str">
        <f>IFERROR(VLOOKUP(L126,#REF!,4,0),"")</f>
        <v/>
      </c>
      <c r="S126" s="48" t="str">
        <f t="shared" si="8"/>
        <v/>
      </c>
      <c r="T126" s="49" t="e">
        <f t="shared" si="9"/>
        <v>#VALUE!</v>
      </c>
      <c r="U126" s="17" t="e">
        <f>IF(E126*J126*M126=0,"",IF((Q126*M126*N126*O126)/E126&lt;IF(IFERROR(VLOOKUP(D126,NBR!$C:$D,2,0),J126)=IFERROR(VLOOKUP(D126,NBR!$C:$F,4,0),J126),J126*0.9,IFERROR(VLOOKUP(D126,NBR!$C:$D,2,0),J126*0.9)),"COLOCAR +"&amp;TEXT(ROUNDUP((E126*J126)/(M126*N126*O126),0)-Q126,"0")&amp;" luminaria(s)",IF((Q126*M126*N126*O126)/E126&gt;IF(IFERROR(VLOOKUP(D126,NBR!$C:$F,4,0),J126)=IFERROR(VLOOKUP(D126,NBR!$C:$D,2,0),J126),J126*1.2,IFERROR(VLOOKUP(D126,NBR!$C:$F,4,0),J126*1.2)),IF(Q126=1,"Reduzir potencia luminaria","RETIRAR -"&amp;TEXT(Q126-ROUNDUP((E126*IF(IFERROR(VLOOKUP(D126,NBR!$C:$F,4,0),J126)=J126,J126*1.2,IFERROR(VLOOKUP(D126,NBR!$C:$F,4,0),J126*1.2)))/(M126*N126*O126),0),"0")&amp;" luminaria(s)"),"OK")))</f>
        <v>#VALUE!</v>
      </c>
      <c r="V126" s="48" t="e">
        <f t="shared" si="6"/>
        <v>#VALUE!</v>
      </c>
      <c r="W126" s="57"/>
      <c r="X126" s="55"/>
      <c r="Y126" s="56"/>
      <c r="AA126" s="34"/>
      <c r="AB126" s="34"/>
      <c r="AC126" s="34"/>
      <c r="AD126" s="34"/>
    </row>
    <row r="127" spans="1:30" ht="18" customHeight="1" x14ac:dyDescent="0.25">
      <c r="A127" s="85"/>
      <c r="B127" s="85"/>
      <c r="C127" s="58"/>
      <c r="D127" s="59"/>
      <c r="E127" s="50" t="str">
        <f t="shared" si="11"/>
        <v/>
      </c>
      <c r="F127" s="50"/>
      <c r="G127" s="51"/>
      <c r="H127" s="51"/>
      <c r="I127" s="51"/>
      <c r="J127" s="44" t="str">
        <f>IFERROR(VLOOKUP(D127,NBR!$C:$E,3,0),"")</f>
        <v/>
      </c>
      <c r="K127" s="50" t="e">
        <f t="shared" si="10"/>
        <v>#VALUE!</v>
      </c>
      <c r="L127" s="82"/>
      <c r="M127" s="46" t="str">
        <f>IFERROR(VLOOKUP(L127,LAMPADAS!$A:$B,2,0),"")</f>
        <v/>
      </c>
      <c r="N127" s="51"/>
      <c r="O127" s="51"/>
      <c r="P127" s="50" t="str">
        <f t="shared" si="7"/>
        <v/>
      </c>
      <c r="Q127" s="31"/>
      <c r="R127" s="47" t="str">
        <f>IFERROR(VLOOKUP(L127,#REF!,4,0),"")</f>
        <v/>
      </c>
      <c r="S127" s="53" t="str">
        <f t="shared" si="8"/>
        <v/>
      </c>
      <c r="T127" s="54" t="e">
        <f t="shared" si="9"/>
        <v>#VALUE!</v>
      </c>
      <c r="U127" s="22" t="e">
        <f>IF(E127*J127*M127=0,"",IF((Q127*M127*N127*O127)/E127&lt;IF(IFERROR(VLOOKUP(D127,NBR!$C:$D,2,0),J127)=IFERROR(VLOOKUP(D127,NBR!$C:$F,4,0),J127),J127*0.9,IFERROR(VLOOKUP(D127,NBR!$C:$D,2,0),J127*0.9)),"COLOCAR +"&amp;TEXT(ROUNDUP((E127*J127)/(M127*N127*O127),0)-Q127,"0")&amp;" luminaria(s)",IF((Q127*M127*N127*O127)/E127&gt;IF(IFERROR(VLOOKUP(D127,NBR!$C:$F,4,0),J127)=IFERROR(VLOOKUP(D127,NBR!$C:$D,2,0),J127),J127*1.2,IFERROR(VLOOKUP(D127,NBR!$C:$F,4,0),J127*1.2)),IF(Q127=1,"Reduzir potencia luminaria","RETIRAR -"&amp;TEXT(Q127-ROUNDUP((E127*IF(IFERROR(VLOOKUP(D127,NBR!$C:$F,4,0),J127)=J127,J127*1.2,IFERROR(VLOOKUP(D127,NBR!$C:$F,4,0),J127*1.2)))/(M127*N127*O127),0),"0")&amp;" luminaria(s)"),"OK")))</f>
        <v>#VALUE!</v>
      </c>
      <c r="V127" s="52" t="e">
        <f t="shared" si="6"/>
        <v>#VALUE!</v>
      </c>
      <c r="W127" s="60"/>
      <c r="X127" s="60"/>
      <c r="Y127" s="60"/>
      <c r="AA127" s="61"/>
      <c r="AB127" s="34"/>
      <c r="AC127" s="34"/>
      <c r="AD127" s="34"/>
    </row>
    <row r="128" spans="1:30" ht="18" customHeight="1" x14ac:dyDescent="0.25">
      <c r="A128" s="86"/>
      <c r="B128" s="86"/>
      <c r="C128" s="83"/>
      <c r="D128" s="17"/>
      <c r="E128" s="43" t="str">
        <f t="shared" si="11"/>
        <v/>
      </c>
      <c r="F128" s="43"/>
      <c r="G128" s="27"/>
      <c r="H128" s="27"/>
      <c r="I128" s="27"/>
      <c r="J128" s="44" t="str">
        <f>IFERROR(VLOOKUP(D128,NBR!$C:$E,3,0),"")</f>
        <v/>
      </c>
      <c r="K128" s="43" t="e">
        <f t="shared" si="10"/>
        <v>#VALUE!</v>
      </c>
      <c r="L128" s="45"/>
      <c r="M128" s="46" t="str">
        <f>IFERROR(VLOOKUP(L128,LAMPADAS!$A:$B,2,0),"")</f>
        <v/>
      </c>
      <c r="N128" s="27"/>
      <c r="O128" s="27"/>
      <c r="P128" s="45" t="str">
        <f t="shared" si="7"/>
        <v/>
      </c>
      <c r="Q128" s="29"/>
      <c r="R128" s="47" t="str">
        <f>IFERROR(VLOOKUP(L128,#REF!,4,0),"")</f>
        <v/>
      </c>
      <c r="S128" s="48" t="str">
        <f t="shared" si="8"/>
        <v/>
      </c>
      <c r="T128" s="49" t="e">
        <f t="shared" si="9"/>
        <v>#VALUE!</v>
      </c>
      <c r="U128" s="17" t="e">
        <f>IF(E128*J128*M128=0,"",IF((Q128*M128*N128*O128)/E128&lt;IF(IFERROR(VLOOKUP(D128,NBR!$C:$D,2,0),J128)=IFERROR(VLOOKUP(D128,NBR!$C:$F,4,0),J128),J128*0.9,IFERROR(VLOOKUP(D128,NBR!$C:$D,2,0),J128*0.9)),"COLOCAR +"&amp;TEXT(ROUNDUP((E128*J128)/(M128*N128*O128),0)-Q128,"0")&amp;" luminaria(s)",IF((Q128*M128*N128*O128)/E128&gt;IF(IFERROR(VLOOKUP(D128,NBR!$C:$F,4,0),J128)=IFERROR(VLOOKUP(D128,NBR!$C:$D,2,0),J128),J128*1.2,IFERROR(VLOOKUP(D128,NBR!$C:$F,4,0),J128*1.2)),IF(Q128=1,"Reduzir potencia luminaria","RETIRAR -"&amp;TEXT(Q128-ROUNDUP((E128*IF(IFERROR(VLOOKUP(D128,NBR!$C:$F,4,0),J128)=J128,J128*1.2,IFERROR(VLOOKUP(D128,NBR!$C:$F,4,0),J128*1.2)))/(M128*N128*O128),0),"0")&amp;" luminaria(s)"),"OK")))</f>
        <v>#VALUE!</v>
      </c>
      <c r="V128" s="48" t="e">
        <f t="shared" si="6"/>
        <v>#VALUE!</v>
      </c>
      <c r="W128" s="57"/>
      <c r="X128" s="55"/>
      <c r="Y128" s="56"/>
      <c r="AA128" s="34"/>
      <c r="AB128" s="34"/>
      <c r="AC128" s="34"/>
      <c r="AD128" s="34"/>
    </row>
    <row r="129" spans="1:30" ht="18" customHeight="1" x14ac:dyDescent="0.25">
      <c r="A129" s="85"/>
      <c r="B129" s="85"/>
      <c r="C129" s="58"/>
      <c r="D129" s="59"/>
      <c r="E129" s="50" t="str">
        <f t="shared" si="11"/>
        <v/>
      </c>
      <c r="F129" s="50"/>
      <c r="G129" s="51"/>
      <c r="H129" s="51"/>
      <c r="I129" s="51"/>
      <c r="J129" s="44" t="str">
        <f>IFERROR(VLOOKUP(D129,NBR!$C:$E,3,0),"")</f>
        <v/>
      </c>
      <c r="K129" s="50" t="e">
        <f t="shared" si="10"/>
        <v>#VALUE!</v>
      </c>
      <c r="L129" s="82"/>
      <c r="M129" s="46" t="str">
        <f>IFERROR(VLOOKUP(L129,LAMPADAS!$A:$B,2,0),"")</f>
        <v/>
      </c>
      <c r="N129" s="51"/>
      <c r="O129" s="51"/>
      <c r="P129" s="50" t="str">
        <f t="shared" si="7"/>
        <v/>
      </c>
      <c r="Q129" s="31"/>
      <c r="R129" s="47" t="str">
        <f>IFERROR(VLOOKUP(L129,#REF!,4,0),"")</f>
        <v/>
      </c>
      <c r="S129" s="53" t="str">
        <f t="shared" si="8"/>
        <v/>
      </c>
      <c r="T129" s="54" t="e">
        <f t="shared" si="9"/>
        <v>#VALUE!</v>
      </c>
      <c r="U129" s="22" t="e">
        <f>IF(E129*J129*M129=0,"",IF((Q129*M129*N129*O129)/E129&lt;IF(IFERROR(VLOOKUP(D129,NBR!$C:$D,2,0),J129)=IFERROR(VLOOKUP(D129,NBR!$C:$F,4,0),J129),J129*0.9,IFERROR(VLOOKUP(D129,NBR!$C:$D,2,0),J129*0.9)),"COLOCAR +"&amp;TEXT(ROUNDUP((E129*J129)/(M129*N129*O129),0)-Q129,"0")&amp;" luminaria(s)",IF((Q129*M129*N129*O129)/E129&gt;IF(IFERROR(VLOOKUP(D129,NBR!$C:$F,4,0),J129)=IFERROR(VLOOKUP(D129,NBR!$C:$D,2,0),J129),J129*1.2,IFERROR(VLOOKUP(D129,NBR!$C:$F,4,0),J129*1.2)),IF(Q129=1,"Reduzir potencia luminaria","RETIRAR -"&amp;TEXT(Q129-ROUNDUP((E129*IF(IFERROR(VLOOKUP(D129,NBR!$C:$F,4,0),J129)=J129,J129*1.2,IFERROR(VLOOKUP(D129,NBR!$C:$F,4,0),J129*1.2)))/(M129*N129*O129),0),"0")&amp;" luminaria(s)"),"OK")))</f>
        <v>#VALUE!</v>
      </c>
      <c r="V129" s="52" t="e">
        <f t="shared" si="6"/>
        <v>#VALUE!</v>
      </c>
      <c r="W129" s="60"/>
      <c r="X129" s="60"/>
      <c r="Y129" s="60"/>
      <c r="AA129" s="61"/>
      <c r="AB129" s="34"/>
      <c r="AC129" s="34"/>
      <c r="AD129" s="34"/>
    </row>
    <row r="130" spans="1:30" ht="18" customHeight="1" x14ac:dyDescent="0.25">
      <c r="A130" s="86"/>
      <c r="B130" s="86"/>
      <c r="C130" s="83"/>
      <c r="D130" s="17"/>
      <c r="E130" s="43" t="str">
        <f t="shared" si="11"/>
        <v/>
      </c>
      <c r="F130" s="43"/>
      <c r="G130" s="27"/>
      <c r="H130" s="27"/>
      <c r="I130" s="27"/>
      <c r="J130" s="44" t="str">
        <f>IFERROR(VLOOKUP(D130,NBR!$C:$E,3,0),"")</f>
        <v/>
      </c>
      <c r="K130" s="43" t="e">
        <f t="shared" si="10"/>
        <v>#VALUE!</v>
      </c>
      <c r="L130" s="45"/>
      <c r="M130" s="46" t="str">
        <f>IFERROR(VLOOKUP(L130,LAMPADAS!$A:$B,2,0),"")</f>
        <v/>
      </c>
      <c r="N130" s="27"/>
      <c r="O130" s="27"/>
      <c r="P130" s="45" t="str">
        <f t="shared" si="7"/>
        <v/>
      </c>
      <c r="Q130" s="29"/>
      <c r="R130" s="47" t="str">
        <f>IFERROR(VLOOKUP(L130,#REF!,4,0),"")</f>
        <v/>
      </c>
      <c r="S130" s="48" t="str">
        <f t="shared" si="8"/>
        <v/>
      </c>
      <c r="T130" s="49" t="e">
        <f t="shared" si="9"/>
        <v>#VALUE!</v>
      </c>
      <c r="U130" s="17" t="e">
        <f>IF(E130*J130*M130=0,"",IF((Q130*M130*N130*O130)/E130&lt;IF(IFERROR(VLOOKUP(D130,NBR!$C:$D,2,0),J130)=IFERROR(VLOOKUP(D130,NBR!$C:$F,4,0),J130),J130*0.9,IFERROR(VLOOKUP(D130,NBR!$C:$D,2,0),J130*0.9)),"COLOCAR +"&amp;TEXT(ROUNDUP((E130*J130)/(M130*N130*O130),0)-Q130,"0")&amp;" luminaria(s)",IF((Q130*M130*N130*O130)/E130&gt;IF(IFERROR(VLOOKUP(D130,NBR!$C:$F,4,0),J130)=IFERROR(VLOOKUP(D130,NBR!$C:$D,2,0),J130),J130*1.2,IFERROR(VLOOKUP(D130,NBR!$C:$F,4,0),J130*1.2)),IF(Q130=1,"Reduzir potencia luminaria","RETIRAR -"&amp;TEXT(Q130-ROUNDUP((E130*IF(IFERROR(VLOOKUP(D130,NBR!$C:$F,4,0),J130)=J130,J130*1.2,IFERROR(VLOOKUP(D130,NBR!$C:$F,4,0),J130*1.2)))/(M130*N130*O130),0),"0")&amp;" luminaria(s)"),"OK")))</f>
        <v>#VALUE!</v>
      </c>
      <c r="V130" s="48" t="e">
        <f t="shared" si="6"/>
        <v>#VALUE!</v>
      </c>
      <c r="W130" s="57"/>
      <c r="X130" s="55"/>
      <c r="Y130" s="56"/>
      <c r="AA130" s="34"/>
      <c r="AB130" s="34"/>
      <c r="AC130" s="34"/>
      <c r="AD130" s="34"/>
    </row>
    <row r="131" spans="1:30" ht="18" customHeight="1" x14ac:dyDescent="0.25">
      <c r="A131" s="85"/>
      <c r="B131" s="85"/>
      <c r="C131" s="58"/>
      <c r="D131" s="59"/>
      <c r="E131" s="50" t="str">
        <f t="shared" si="11"/>
        <v/>
      </c>
      <c r="F131" s="50"/>
      <c r="G131" s="51"/>
      <c r="H131" s="51"/>
      <c r="I131" s="51"/>
      <c r="J131" s="44" t="str">
        <f>IFERROR(VLOOKUP(D131,NBR!$C:$E,3,0),"")</f>
        <v/>
      </c>
      <c r="K131" s="50" t="e">
        <f t="shared" si="10"/>
        <v>#VALUE!</v>
      </c>
      <c r="L131" s="82"/>
      <c r="M131" s="46" t="str">
        <f>IFERROR(VLOOKUP(L131,LAMPADAS!$A:$B,2,0),"")</f>
        <v/>
      </c>
      <c r="N131" s="51"/>
      <c r="O131" s="51"/>
      <c r="P131" s="50" t="str">
        <f t="shared" si="7"/>
        <v/>
      </c>
      <c r="Q131" s="31"/>
      <c r="R131" s="47" t="str">
        <f>IFERROR(VLOOKUP(L131,#REF!,4,0),"")</f>
        <v/>
      </c>
      <c r="S131" s="53" t="str">
        <f t="shared" si="8"/>
        <v/>
      </c>
      <c r="T131" s="54" t="e">
        <f t="shared" si="9"/>
        <v>#VALUE!</v>
      </c>
      <c r="U131" s="22" t="e">
        <f>IF(E131*J131*M131=0,"",IF((Q131*M131*N131*O131)/E131&lt;IF(IFERROR(VLOOKUP(D131,NBR!$C:$D,2,0),J131)=IFERROR(VLOOKUP(D131,NBR!$C:$F,4,0),J131),J131*0.9,IFERROR(VLOOKUP(D131,NBR!$C:$D,2,0),J131*0.9)),"COLOCAR +"&amp;TEXT(ROUNDUP((E131*J131)/(M131*N131*O131),0)-Q131,"0")&amp;" luminaria(s)",IF((Q131*M131*N131*O131)/E131&gt;IF(IFERROR(VLOOKUP(D131,NBR!$C:$F,4,0),J131)=IFERROR(VLOOKUP(D131,NBR!$C:$D,2,0),J131),J131*1.2,IFERROR(VLOOKUP(D131,NBR!$C:$F,4,0),J131*1.2)),IF(Q131=1,"Reduzir potencia luminaria","RETIRAR -"&amp;TEXT(Q131-ROUNDUP((E131*IF(IFERROR(VLOOKUP(D131,NBR!$C:$F,4,0),J131)=J131,J131*1.2,IFERROR(VLOOKUP(D131,NBR!$C:$F,4,0),J131*1.2)))/(M131*N131*O131),0),"0")&amp;" luminaria(s)"),"OK")))</f>
        <v>#VALUE!</v>
      </c>
      <c r="V131" s="52" t="e">
        <f t="shared" si="6"/>
        <v>#VALUE!</v>
      </c>
      <c r="W131" s="60"/>
      <c r="X131" s="60"/>
      <c r="Y131" s="60"/>
      <c r="AA131" s="61"/>
      <c r="AB131" s="34"/>
      <c r="AC131" s="34"/>
      <c r="AD131" s="34"/>
    </row>
    <row r="132" spans="1:30" ht="18" customHeight="1" x14ac:dyDescent="0.25">
      <c r="A132" s="86"/>
      <c r="B132" s="86"/>
      <c r="C132" s="83"/>
      <c r="D132" s="17"/>
      <c r="E132" s="43" t="str">
        <f t="shared" si="11"/>
        <v/>
      </c>
      <c r="F132" s="43"/>
      <c r="G132" s="27"/>
      <c r="H132" s="27"/>
      <c r="I132" s="27"/>
      <c r="J132" s="44" t="str">
        <f>IFERROR(VLOOKUP(D132,NBR!$C:$E,3,0),"")</f>
        <v/>
      </c>
      <c r="K132" s="43" t="e">
        <f t="shared" si="10"/>
        <v>#VALUE!</v>
      </c>
      <c r="L132" s="45"/>
      <c r="M132" s="46" t="str">
        <f>IFERROR(VLOOKUP(L132,LAMPADAS!$A:$B,2,0),"")</f>
        <v/>
      </c>
      <c r="N132" s="27"/>
      <c r="O132" s="27"/>
      <c r="P132" s="45" t="str">
        <f t="shared" si="7"/>
        <v/>
      </c>
      <c r="Q132" s="29"/>
      <c r="R132" s="47" t="str">
        <f>IFERROR(VLOOKUP(L132,#REF!,4,0),"")</f>
        <v/>
      </c>
      <c r="S132" s="48" t="str">
        <f t="shared" si="8"/>
        <v/>
      </c>
      <c r="T132" s="49" t="e">
        <f t="shared" si="9"/>
        <v>#VALUE!</v>
      </c>
      <c r="U132" s="17" t="e">
        <f>IF(E132*J132*M132=0,"",IF((Q132*M132*N132*O132)/E132&lt;IF(IFERROR(VLOOKUP(D132,NBR!$C:$D,2,0),J132)=IFERROR(VLOOKUP(D132,NBR!$C:$F,4,0),J132),J132*0.9,IFERROR(VLOOKUP(D132,NBR!$C:$D,2,0),J132*0.9)),"COLOCAR +"&amp;TEXT(ROUNDUP((E132*J132)/(M132*N132*O132),0)-Q132,"0")&amp;" luminaria(s)",IF((Q132*M132*N132*O132)/E132&gt;IF(IFERROR(VLOOKUP(D132,NBR!$C:$F,4,0),J132)=IFERROR(VLOOKUP(D132,NBR!$C:$D,2,0),J132),J132*1.2,IFERROR(VLOOKUP(D132,NBR!$C:$F,4,0),J132*1.2)),IF(Q132=1,"Reduzir potencia luminaria","RETIRAR -"&amp;TEXT(Q132-ROUNDUP((E132*IF(IFERROR(VLOOKUP(D132,NBR!$C:$F,4,0),J132)=J132,J132*1.2,IFERROR(VLOOKUP(D132,NBR!$C:$F,4,0),J132*1.2)))/(M132*N132*O132),0),"0")&amp;" luminaria(s)"),"OK")))</f>
        <v>#VALUE!</v>
      </c>
      <c r="V132" s="48" t="e">
        <f t="shared" si="6"/>
        <v>#VALUE!</v>
      </c>
      <c r="W132" s="57"/>
      <c r="X132" s="55"/>
      <c r="Y132" s="56"/>
      <c r="AA132" s="34"/>
      <c r="AB132" s="34"/>
      <c r="AC132" s="34"/>
      <c r="AD132" s="34"/>
    </row>
    <row r="133" spans="1:30" ht="18" customHeight="1" x14ac:dyDescent="0.25">
      <c r="A133" s="85"/>
      <c r="B133" s="85"/>
      <c r="C133" s="58"/>
      <c r="D133" s="59"/>
      <c r="E133" s="50" t="str">
        <f t="shared" si="11"/>
        <v/>
      </c>
      <c r="F133" s="50"/>
      <c r="G133" s="51"/>
      <c r="H133" s="51"/>
      <c r="I133" s="51"/>
      <c r="J133" s="44" t="str">
        <f>IFERROR(VLOOKUP(D133,NBR!$C:$E,3,0),"")</f>
        <v/>
      </c>
      <c r="K133" s="50" t="e">
        <f t="shared" si="10"/>
        <v>#VALUE!</v>
      </c>
      <c r="L133" s="82"/>
      <c r="M133" s="46" t="str">
        <f>IFERROR(VLOOKUP(L133,LAMPADAS!$A:$B,2,0),"")</f>
        <v/>
      </c>
      <c r="N133" s="51"/>
      <c r="O133" s="51"/>
      <c r="P133" s="50" t="str">
        <f t="shared" si="7"/>
        <v/>
      </c>
      <c r="Q133" s="31"/>
      <c r="R133" s="47" t="str">
        <f>IFERROR(VLOOKUP(L133,#REF!,4,0),"")</f>
        <v/>
      </c>
      <c r="S133" s="53" t="str">
        <f t="shared" si="8"/>
        <v/>
      </c>
      <c r="T133" s="54" t="e">
        <f t="shared" si="9"/>
        <v>#VALUE!</v>
      </c>
      <c r="U133" s="22" t="e">
        <f>IF(E133*J133*M133=0,"",IF((Q133*M133*N133*O133)/E133&lt;IF(IFERROR(VLOOKUP(D133,NBR!$C:$D,2,0),J133)=IFERROR(VLOOKUP(D133,NBR!$C:$F,4,0),J133),J133*0.9,IFERROR(VLOOKUP(D133,NBR!$C:$D,2,0),J133*0.9)),"COLOCAR +"&amp;TEXT(ROUNDUP((E133*J133)/(M133*N133*O133),0)-Q133,"0")&amp;" luminaria(s)",IF((Q133*M133*N133*O133)/E133&gt;IF(IFERROR(VLOOKUP(D133,NBR!$C:$F,4,0),J133)=IFERROR(VLOOKUP(D133,NBR!$C:$D,2,0),J133),J133*1.2,IFERROR(VLOOKUP(D133,NBR!$C:$F,4,0),J133*1.2)),IF(Q133=1,"Reduzir potencia luminaria","RETIRAR -"&amp;TEXT(Q133-ROUNDUP((E133*IF(IFERROR(VLOOKUP(D133,NBR!$C:$F,4,0),J133)=J133,J133*1.2,IFERROR(VLOOKUP(D133,NBR!$C:$F,4,0),J133*1.2)))/(M133*N133*O133),0),"0")&amp;" luminaria(s)"),"OK")))</f>
        <v>#VALUE!</v>
      </c>
      <c r="V133" s="52" t="e">
        <f t="shared" ref="V133:V168" si="12">IF(E133*M133=0,"",ROUND((Q133*M133*N133*O133)/E133,0))</f>
        <v>#VALUE!</v>
      </c>
      <c r="W133" s="60"/>
      <c r="X133" s="60"/>
      <c r="Y133" s="60"/>
      <c r="AA133" s="61"/>
      <c r="AB133" s="34"/>
      <c r="AC133" s="34"/>
      <c r="AD133" s="34"/>
    </row>
    <row r="134" spans="1:30" ht="18" customHeight="1" x14ac:dyDescent="0.25">
      <c r="A134" s="86"/>
      <c r="B134" s="86"/>
      <c r="C134" s="83"/>
      <c r="D134" s="17"/>
      <c r="E134" s="43" t="str">
        <f t="shared" si="11"/>
        <v/>
      </c>
      <c r="F134" s="43"/>
      <c r="G134" s="27"/>
      <c r="H134" s="27"/>
      <c r="I134" s="27"/>
      <c r="J134" s="44" t="str">
        <f>IFERROR(VLOOKUP(D134,NBR!$C:$E,3,0),"")</f>
        <v/>
      </c>
      <c r="K134" s="43" t="e">
        <f t="shared" si="10"/>
        <v>#VALUE!</v>
      </c>
      <c r="L134" s="45"/>
      <c r="M134" s="46" t="str">
        <f>IFERROR(VLOOKUP(L134,LAMPADAS!$A:$B,2,0),"")</f>
        <v/>
      </c>
      <c r="N134" s="27"/>
      <c r="O134" s="27"/>
      <c r="P134" s="45" t="str">
        <f t="shared" ref="P134" si="13">IF(AND(E134&lt;&gt;"",J134&lt;&gt;"",M134&lt;&gt;"",N134&lt;&gt;"",O134&lt;&gt;"",N134&lt;&gt;0,O134&lt;&gt;0), ROUNDUP((E134*J134)/(M134*N134*O134),0), "")</f>
        <v/>
      </c>
      <c r="Q134" s="29"/>
      <c r="R134" s="47" t="str">
        <f>IFERROR(VLOOKUP(L134,#REF!,4,0),"")</f>
        <v/>
      </c>
      <c r="S134" s="48" t="str">
        <f t="shared" ref="S134:S169" si="14">IF(AND(Q134&lt;&gt;"",R134&lt;&gt;""),Q134*R134,"")</f>
        <v/>
      </c>
      <c r="T134" s="49" t="e">
        <f t="shared" ref="T134:T169" si="15">IF(E134*J134=0,"—",IF((Q134*M134*N134*O134)/E134&lt;J134*0.9,"INSUFICIENTE -"&amp;TEXT(ABS(((Q134*M134*N134*O134)/E134-J134)/J134)*100,"0")&amp;"%",IF((Q134*M134*N134*O134)/E134&gt;J134*1.31,"ACIMA +"&amp;TEXT((((Q134*M134*N134*O134)/E134-J134)/J134)*100,"0")&amp;"%","OK "&amp;IF((Q134*M134*N134*O134)/E134&gt;=J134,"+","")&amp;TEXT((((Q134*M134*N134*O134)/E134-J134)/J134)*100,"0")&amp;"%")))</f>
        <v>#VALUE!</v>
      </c>
      <c r="U134" s="17" t="e">
        <f>IF(E134*J134*M134=0,"",IF((Q134*M134*N134*O134)/E134&lt;IF(IFERROR(VLOOKUP(D134,NBR!$C:$D,2,0),J134)=IFERROR(VLOOKUP(D134,NBR!$C:$F,4,0),J134),J134*0.9,IFERROR(VLOOKUP(D134,NBR!$C:$D,2,0),J134*0.9)),"COLOCAR +"&amp;TEXT(ROUNDUP((E134*J134)/(M134*N134*O134),0)-Q134,"0")&amp;" luminaria(s)",IF((Q134*M134*N134*O134)/E134&gt;IF(IFERROR(VLOOKUP(D134,NBR!$C:$F,4,0),J134)=IFERROR(VLOOKUP(D134,NBR!$C:$D,2,0),J134),J134*1.2,IFERROR(VLOOKUP(D134,NBR!$C:$F,4,0),J134*1.2)),IF(Q134=1,"Reduzir potencia luminaria","RETIRAR -"&amp;TEXT(Q134-ROUNDUP((E134*IF(IFERROR(VLOOKUP(D134,NBR!$C:$F,4,0),J134)=J134,J134*1.2,IFERROR(VLOOKUP(D134,NBR!$C:$F,4,0),J134*1.2)))/(M134*N134*O134),0),"0")&amp;" luminaria(s)"),"OK")))</f>
        <v>#VALUE!</v>
      </c>
      <c r="V134" s="48" t="e">
        <f t="shared" si="12"/>
        <v>#VALUE!</v>
      </c>
      <c r="W134" s="57"/>
      <c r="X134" s="55"/>
      <c r="Y134" s="56"/>
      <c r="AA134" s="34"/>
      <c r="AB134" s="34"/>
      <c r="AC134" s="34"/>
      <c r="AD134" s="34"/>
    </row>
    <row r="135" spans="1:30" ht="18" customHeight="1" x14ac:dyDescent="0.25">
      <c r="A135" s="85"/>
      <c r="B135" s="85"/>
      <c r="C135" s="58"/>
      <c r="D135" s="59"/>
      <c r="E135" s="50" t="str">
        <f t="shared" si="11"/>
        <v/>
      </c>
      <c r="F135" s="50"/>
      <c r="G135" s="51"/>
      <c r="H135" s="51"/>
      <c r="I135" s="51"/>
      <c r="J135" s="44" t="str">
        <f>IFERROR(VLOOKUP(D135,NBR!$C:$E,3,0),"")</f>
        <v/>
      </c>
      <c r="K135" s="50" t="e">
        <f t="shared" ref="K135:K169" si="16">IF(E135*F135*I135=0,"",(4*E135)/((F135)*I135))</f>
        <v>#VALUE!</v>
      </c>
      <c r="L135" s="82"/>
      <c r="M135" s="46" t="str">
        <f>IFERROR(VLOOKUP(L135,LAMPADAS!$A:$B,2,0),"")</f>
        <v/>
      </c>
      <c r="N135" s="51"/>
      <c r="O135" s="51"/>
      <c r="P135" s="50" t="str">
        <f>IF(AND(E135&lt;&gt;"",J135&lt;&gt;"",M135&lt;&gt;"",N135&lt;&gt;"",O135&lt;&gt;"",N135&lt;&gt;0,O135&lt;&gt;0), ROUNDUP((E135*J135)/(M135*N135*O135),0), "")</f>
        <v/>
      </c>
      <c r="Q135" s="31"/>
      <c r="R135" s="47" t="str">
        <f>IFERROR(VLOOKUP(L135,#REF!,4,0),"")</f>
        <v/>
      </c>
      <c r="S135" s="53" t="str">
        <f t="shared" si="14"/>
        <v/>
      </c>
      <c r="T135" s="54" t="e">
        <f t="shared" si="15"/>
        <v>#VALUE!</v>
      </c>
      <c r="U135" s="22" t="e">
        <f>IF(E135*J135*M135=0,"",IF((Q135*M135*N135*O135)/E135&lt;IF(IFERROR(VLOOKUP(D135,NBR!$C:$D,2,0),J135)=IFERROR(VLOOKUP(D135,NBR!$C:$F,4,0),J135),J135*0.9,IFERROR(VLOOKUP(D135,NBR!$C:$D,2,0),J135*0.9)),"COLOCAR +"&amp;TEXT(ROUNDUP((E135*J135)/(M135*N135*O135),0)-Q135,"0")&amp;" luminaria(s)",IF((Q135*M135*N135*O135)/E135&gt;IF(IFERROR(VLOOKUP(D135,NBR!$C:$F,4,0),J135)=IFERROR(VLOOKUP(D135,NBR!$C:$D,2,0),J135),J135*1.2,IFERROR(VLOOKUP(D135,NBR!$C:$F,4,0),J135*1.2)),IF(Q135=1,"Reduzir potencia luminaria","RETIRAR -"&amp;TEXT(Q135-ROUNDUP((E135*IF(IFERROR(VLOOKUP(D135,NBR!$C:$F,4,0),J135)=J135,J135*1.2,IFERROR(VLOOKUP(D135,NBR!$C:$F,4,0),J135*1.2)))/(M135*N135*O135),0),"0")&amp;" luminaria(s)"),"OK")))</f>
        <v>#VALUE!</v>
      </c>
      <c r="V135" s="52" t="e">
        <f t="shared" si="12"/>
        <v>#VALUE!</v>
      </c>
      <c r="W135" s="60"/>
      <c r="X135" s="60"/>
      <c r="Y135" s="60"/>
      <c r="AA135" s="61"/>
      <c r="AB135" s="34"/>
      <c r="AC135" s="34"/>
      <c r="AD135" s="34"/>
    </row>
    <row r="136" spans="1:30" ht="18" customHeight="1" x14ac:dyDescent="0.25">
      <c r="A136" s="86"/>
      <c r="B136" s="86"/>
      <c r="C136" s="83"/>
      <c r="D136" s="17"/>
      <c r="E136" s="43" t="str">
        <f t="shared" si="11"/>
        <v/>
      </c>
      <c r="F136" s="43"/>
      <c r="G136" s="27"/>
      <c r="H136" s="27"/>
      <c r="I136" s="27"/>
      <c r="J136" s="44" t="str">
        <f>IFERROR(VLOOKUP(D136,NBR!$C:$E,3,0),"")</f>
        <v/>
      </c>
      <c r="K136" s="43" t="e">
        <f t="shared" si="16"/>
        <v>#VALUE!</v>
      </c>
      <c r="L136" s="45"/>
      <c r="M136" s="46" t="str">
        <f>IFERROR(VLOOKUP(L136,LAMPADAS!$A:$B,2,0),"")</f>
        <v/>
      </c>
      <c r="N136" s="27"/>
      <c r="O136" s="27"/>
      <c r="P136" s="45" t="str">
        <f t="shared" ref="P136:P169" si="17">IF(AND(E136&lt;&gt;"",J136&lt;&gt;"",M136&lt;&gt;"",N136&lt;&gt;"",O136&lt;&gt;"",N136&lt;&gt;0,O136&lt;&gt;0), ROUNDUP((E136*J136)/(M136*N136*O136),0), "")</f>
        <v/>
      </c>
      <c r="Q136" s="29"/>
      <c r="R136" s="47" t="str">
        <f>IFERROR(VLOOKUP(L136,#REF!,4,0),"")</f>
        <v/>
      </c>
      <c r="S136" s="48" t="str">
        <f t="shared" si="14"/>
        <v/>
      </c>
      <c r="T136" s="49" t="e">
        <f t="shared" si="15"/>
        <v>#VALUE!</v>
      </c>
      <c r="U136" s="17" t="e">
        <f>IF(E136*J136*M136=0,"",IF((Q136*M136*N136*O136)/E136&lt;IF(IFERROR(VLOOKUP(D136,NBR!$C:$D,2,0),J136)=IFERROR(VLOOKUP(D136,NBR!$C:$F,4,0),J136),J136*0.9,IFERROR(VLOOKUP(D136,NBR!$C:$D,2,0),J136*0.9)),"COLOCAR +"&amp;TEXT(ROUNDUP((E136*J136)/(M136*N136*O136),0)-Q136,"0")&amp;" luminaria(s)",IF((Q136*M136*N136*O136)/E136&gt;IF(IFERROR(VLOOKUP(D136,NBR!$C:$F,4,0),J136)=IFERROR(VLOOKUP(D136,NBR!$C:$D,2,0),J136),J136*1.2,IFERROR(VLOOKUP(D136,NBR!$C:$F,4,0),J136*1.2)),IF(Q136=1,"Reduzir potencia luminaria","RETIRAR -"&amp;TEXT(Q136-ROUNDUP((E136*IF(IFERROR(VLOOKUP(D136,NBR!$C:$F,4,0),J136)=J136,J136*1.2,IFERROR(VLOOKUP(D136,NBR!$C:$F,4,0),J136*1.2)))/(M136*N136*O136),0),"0")&amp;" luminaria(s)"),"OK")))</f>
        <v>#VALUE!</v>
      </c>
      <c r="V136" s="48" t="e">
        <f t="shared" si="12"/>
        <v>#VALUE!</v>
      </c>
      <c r="W136" s="57"/>
      <c r="X136" s="55"/>
      <c r="Y136" s="56"/>
      <c r="AA136" s="34"/>
      <c r="AB136" s="34"/>
      <c r="AC136" s="34"/>
      <c r="AD136" s="34"/>
    </row>
    <row r="137" spans="1:30" ht="18" customHeight="1" x14ac:dyDescent="0.25">
      <c r="A137" s="85"/>
      <c r="B137" s="85"/>
      <c r="C137" s="58"/>
      <c r="D137" s="59"/>
      <c r="E137" s="50" t="str">
        <f t="shared" si="11"/>
        <v/>
      </c>
      <c r="F137" s="50"/>
      <c r="G137" s="51"/>
      <c r="H137" s="51"/>
      <c r="I137" s="51"/>
      <c r="J137" s="44" t="str">
        <f>IFERROR(VLOOKUP(D137,NBR!$C:$E,3,0),"")</f>
        <v/>
      </c>
      <c r="K137" s="50" t="e">
        <f t="shared" si="16"/>
        <v>#VALUE!</v>
      </c>
      <c r="L137" s="82"/>
      <c r="M137" s="46" t="str">
        <f>IFERROR(VLOOKUP(L137,LAMPADAS!$A:$B,2,0),"")</f>
        <v/>
      </c>
      <c r="N137" s="51"/>
      <c r="O137" s="51"/>
      <c r="P137" s="50" t="str">
        <f t="shared" si="17"/>
        <v/>
      </c>
      <c r="Q137" s="31"/>
      <c r="R137" s="47" t="str">
        <f>IFERROR(VLOOKUP(L137,#REF!,4,0),"")</f>
        <v/>
      </c>
      <c r="S137" s="53" t="str">
        <f t="shared" si="14"/>
        <v/>
      </c>
      <c r="T137" s="54" t="e">
        <f t="shared" si="15"/>
        <v>#VALUE!</v>
      </c>
      <c r="U137" s="22" t="e">
        <f>IF(E137*J137*M137=0,"",IF((Q137*M137*N137*O137)/E137&lt;IF(IFERROR(VLOOKUP(D137,NBR!$C:$D,2,0),J137)=IFERROR(VLOOKUP(D137,NBR!$C:$F,4,0),J137),J137*0.9,IFERROR(VLOOKUP(D137,NBR!$C:$D,2,0),J137*0.9)),"COLOCAR +"&amp;TEXT(ROUNDUP((E137*J137)/(M137*N137*O137),0)-Q137,"0")&amp;" luminaria(s)",IF((Q137*M137*N137*O137)/E137&gt;IF(IFERROR(VLOOKUP(D137,NBR!$C:$F,4,0),J137)=IFERROR(VLOOKUP(D137,NBR!$C:$D,2,0),J137),J137*1.2,IFERROR(VLOOKUP(D137,NBR!$C:$F,4,0),J137*1.2)),IF(Q137=1,"Reduzir potencia luminaria","RETIRAR -"&amp;TEXT(Q137-ROUNDUP((E137*IF(IFERROR(VLOOKUP(D137,NBR!$C:$F,4,0),J137)=J137,J137*1.2,IFERROR(VLOOKUP(D137,NBR!$C:$F,4,0),J137*1.2)))/(M137*N137*O137),0),"0")&amp;" luminaria(s)"),"OK")))</f>
        <v>#VALUE!</v>
      </c>
      <c r="V137" s="52" t="e">
        <f t="shared" si="12"/>
        <v>#VALUE!</v>
      </c>
      <c r="W137" s="60"/>
      <c r="X137" s="60"/>
      <c r="Y137" s="60"/>
      <c r="AA137" s="61"/>
      <c r="AB137" s="34"/>
      <c r="AC137" s="34"/>
      <c r="AD137" s="34"/>
    </row>
    <row r="138" spans="1:30" ht="18" customHeight="1" x14ac:dyDescent="0.25">
      <c r="A138" s="86"/>
      <c r="B138" s="86"/>
      <c r="C138" s="83"/>
      <c r="D138" s="17"/>
      <c r="E138" s="43" t="str">
        <f t="shared" si="11"/>
        <v/>
      </c>
      <c r="F138" s="43"/>
      <c r="G138" s="27"/>
      <c r="H138" s="27"/>
      <c r="I138" s="27"/>
      <c r="J138" s="44" t="str">
        <f>IFERROR(VLOOKUP(D138,NBR!$C:$E,3,0),"")</f>
        <v/>
      </c>
      <c r="K138" s="43" t="e">
        <f t="shared" si="16"/>
        <v>#VALUE!</v>
      </c>
      <c r="L138" s="45"/>
      <c r="M138" s="46" t="str">
        <f>IFERROR(VLOOKUP(L138,LAMPADAS!$A:$B,2,0),"")</f>
        <v/>
      </c>
      <c r="N138" s="27"/>
      <c r="O138" s="27"/>
      <c r="P138" s="45" t="str">
        <f t="shared" si="17"/>
        <v/>
      </c>
      <c r="Q138" s="29"/>
      <c r="R138" s="47" t="str">
        <f>IFERROR(VLOOKUP(L138,#REF!,4,0),"")</f>
        <v/>
      </c>
      <c r="S138" s="48" t="str">
        <f t="shared" si="14"/>
        <v/>
      </c>
      <c r="T138" s="49" t="e">
        <f t="shared" si="15"/>
        <v>#VALUE!</v>
      </c>
      <c r="U138" s="17" t="e">
        <f>IF(E138*J138*M138=0,"",IF((Q138*M138*N138*O138)/E138&lt;IF(IFERROR(VLOOKUP(D138,NBR!$C:$D,2,0),J138)=IFERROR(VLOOKUP(D138,NBR!$C:$F,4,0),J138),J138*0.9,IFERROR(VLOOKUP(D138,NBR!$C:$D,2,0),J138*0.9)),"COLOCAR +"&amp;TEXT(ROUNDUP((E138*J138)/(M138*N138*O138),0)-Q138,"0")&amp;" luminaria(s)",IF((Q138*M138*N138*O138)/E138&gt;IF(IFERROR(VLOOKUP(D138,NBR!$C:$F,4,0),J138)=IFERROR(VLOOKUP(D138,NBR!$C:$D,2,0),J138),J138*1.2,IFERROR(VLOOKUP(D138,NBR!$C:$F,4,0),J138*1.2)),IF(Q138=1,"Reduzir potencia luminaria","RETIRAR -"&amp;TEXT(Q138-ROUNDUP((E138*IF(IFERROR(VLOOKUP(D138,NBR!$C:$F,4,0),J138)=J138,J138*1.2,IFERROR(VLOOKUP(D138,NBR!$C:$F,4,0),J138*1.2)))/(M138*N138*O138),0),"0")&amp;" luminaria(s)"),"OK")))</f>
        <v>#VALUE!</v>
      </c>
      <c r="V138" s="48" t="e">
        <f t="shared" si="12"/>
        <v>#VALUE!</v>
      </c>
      <c r="W138" s="57"/>
      <c r="X138" s="55"/>
      <c r="Y138" s="56"/>
      <c r="AA138" s="34"/>
      <c r="AB138" s="34"/>
      <c r="AC138" s="34"/>
      <c r="AD138" s="34"/>
    </row>
    <row r="139" spans="1:30" ht="18" customHeight="1" x14ac:dyDescent="0.25">
      <c r="A139" s="85"/>
      <c r="B139" s="85"/>
      <c r="C139" s="58"/>
      <c r="D139" s="59"/>
      <c r="E139" s="50" t="str">
        <f t="shared" si="11"/>
        <v/>
      </c>
      <c r="F139" s="50"/>
      <c r="G139" s="51"/>
      <c r="H139" s="51"/>
      <c r="I139" s="51"/>
      <c r="J139" s="44" t="str">
        <f>IFERROR(VLOOKUP(D139,NBR!$C:$E,3,0),"")</f>
        <v/>
      </c>
      <c r="K139" s="50" t="e">
        <f t="shared" si="16"/>
        <v>#VALUE!</v>
      </c>
      <c r="L139" s="82"/>
      <c r="M139" s="46" t="str">
        <f>IFERROR(VLOOKUP(L139,LAMPADAS!$A:$B,2,0),"")</f>
        <v/>
      </c>
      <c r="N139" s="51"/>
      <c r="O139" s="51"/>
      <c r="P139" s="50" t="str">
        <f t="shared" si="17"/>
        <v/>
      </c>
      <c r="Q139" s="31"/>
      <c r="R139" s="47" t="str">
        <f>IFERROR(VLOOKUP(L139,#REF!,4,0),"")</f>
        <v/>
      </c>
      <c r="S139" s="53" t="str">
        <f t="shared" si="14"/>
        <v/>
      </c>
      <c r="T139" s="54" t="e">
        <f t="shared" si="15"/>
        <v>#VALUE!</v>
      </c>
      <c r="U139" s="22" t="e">
        <f>IF(E139*J139*M139=0,"",IF((Q139*M139*N139*O139)/E139&lt;IF(IFERROR(VLOOKUP(D139,NBR!$C:$D,2,0),J139)=IFERROR(VLOOKUP(D139,NBR!$C:$F,4,0),J139),J139*0.9,IFERROR(VLOOKUP(D139,NBR!$C:$D,2,0),J139*0.9)),"COLOCAR +"&amp;TEXT(ROUNDUP((E139*J139)/(M139*N139*O139),0)-Q139,"0")&amp;" luminaria(s)",IF((Q139*M139*N139*O139)/E139&gt;IF(IFERROR(VLOOKUP(D139,NBR!$C:$F,4,0),J139)=IFERROR(VLOOKUP(D139,NBR!$C:$D,2,0),J139),J139*1.2,IFERROR(VLOOKUP(D139,NBR!$C:$F,4,0),J139*1.2)),IF(Q139=1,"Reduzir potencia luminaria","RETIRAR -"&amp;TEXT(Q139-ROUNDUP((E139*IF(IFERROR(VLOOKUP(D139,NBR!$C:$F,4,0),J139)=J139,J139*1.2,IFERROR(VLOOKUP(D139,NBR!$C:$F,4,0),J139*1.2)))/(M139*N139*O139),0),"0")&amp;" luminaria(s)"),"OK")))</f>
        <v>#VALUE!</v>
      </c>
      <c r="V139" s="52" t="e">
        <f t="shared" si="12"/>
        <v>#VALUE!</v>
      </c>
      <c r="W139" s="60"/>
      <c r="X139" s="60"/>
      <c r="Y139" s="60"/>
      <c r="AA139" s="61"/>
      <c r="AB139" s="34"/>
      <c r="AC139" s="34"/>
      <c r="AD139" s="34"/>
    </row>
    <row r="140" spans="1:30" ht="18" customHeight="1" x14ac:dyDescent="0.25">
      <c r="A140" s="86"/>
      <c r="B140" s="86"/>
      <c r="C140" s="83"/>
      <c r="D140" s="17"/>
      <c r="E140" s="43" t="str">
        <f t="shared" si="11"/>
        <v/>
      </c>
      <c r="F140" s="43"/>
      <c r="G140" s="27"/>
      <c r="H140" s="27"/>
      <c r="I140" s="27"/>
      <c r="J140" s="44" t="str">
        <f>IFERROR(VLOOKUP(D140,NBR!$C:$E,3,0),"")</f>
        <v/>
      </c>
      <c r="K140" s="43" t="e">
        <f t="shared" si="16"/>
        <v>#VALUE!</v>
      </c>
      <c r="L140" s="45"/>
      <c r="M140" s="46" t="str">
        <f>IFERROR(VLOOKUP(L140,LAMPADAS!$A:$B,2,0),"")</f>
        <v/>
      </c>
      <c r="N140" s="27"/>
      <c r="O140" s="27"/>
      <c r="P140" s="45" t="str">
        <f t="shared" si="17"/>
        <v/>
      </c>
      <c r="Q140" s="29"/>
      <c r="R140" s="47" t="str">
        <f>IFERROR(VLOOKUP(L140,#REF!,4,0),"")</f>
        <v/>
      </c>
      <c r="S140" s="48" t="str">
        <f t="shared" si="14"/>
        <v/>
      </c>
      <c r="T140" s="49" t="e">
        <f t="shared" si="15"/>
        <v>#VALUE!</v>
      </c>
      <c r="U140" s="17" t="e">
        <f>IF(E140*J140*M140=0,"",IF((Q140*M140*N140*O140)/E140&lt;IF(IFERROR(VLOOKUP(D140,NBR!$C:$D,2,0),J140)=IFERROR(VLOOKUP(D140,NBR!$C:$F,4,0),J140),J140*0.9,IFERROR(VLOOKUP(D140,NBR!$C:$D,2,0),J140*0.9)),"COLOCAR +"&amp;TEXT(ROUNDUP((E140*J140)/(M140*N140*O140),0)-Q140,"0")&amp;" luminaria(s)",IF((Q140*M140*N140*O140)/E140&gt;IF(IFERROR(VLOOKUP(D140,NBR!$C:$F,4,0),J140)=IFERROR(VLOOKUP(D140,NBR!$C:$D,2,0),J140),J140*1.2,IFERROR(VLOOKUP(D140,NBR!$C:$F,4,0),J140*1.2)),IF(Q140=1,"Reduzir potencia luminaria","RETIRAR -"&amp;TEXT(Q140-ROUNDUP((E140*IF(IFERROR(VLOOKUP(D140,NBR!$C:$F,4,0),J140)=J140,J140*1.2,IFERROR(VLOOKUP(D140,NBR!$C:$F,4,0),J140*1.2)))/(M140*N140*O140),0),"0")&amp;" luminaria(s)"),"OK")))</f>
        <v>#VALUE!</v>
      </c>
      <c r="V140" s="48" t="e">
        <f t="shared" si="12"/>
        <v>#VALUE!</v>
      </c>
      <c r="W140" s="57"/>
      <c r="X140" s="55"/>
      <c r="Y140" s="56"/>
      <c r="AA140" s="34"/>
      <c r="AB140" s="34"/>
      <c r="AC140" s="34"/>
      <c r="AD140" s="34"/>
    </row>
    <row r="141" spans="1:30" ht="18" customHeight="1" x14ac:dyDescent="0.25">
      <c r="A141" s="85"/>
      <c r="B141" s="85"/>
      <c r="C141" s="58"/>
      <c r="D141" s="59"/>
      <c r="E141" s="50" t="str">
        <f t="shared" si="11"/>
        <v/>
      </c>
      <c r="F141" s="50"/>
      <c r="G141" s="51"/>
      <c r="H141" s="51"/>
      <c r="I141" s="51"/>
      <c r="J141" s="44" t="str">
        <f>IFERROR(VLOOKUP(D141,NBR!$C:$E,3,0),"")</f>
        <v/>
      </c>
      <c r="K141" s="50" t="e">
        <f t="shared" si="16"/>
        <v>#VALUE!</v>
      </c>
      <c r="L141" s="82"/>
      <c r="M141" s="46" t="str">
        <f>IFERROR(VLOOKUP(L141,LAMPADAS!$A:$B,2,0),"")</f>
        <v/>
      </c>
      <c r="N141" s="51"/>
      <c r="O141" s="51"/>
      <c r="P141" s="50" t="str">
        <f t="shared" si="17"/>
        <v/>
      </c>
      <c r="Q141" s="31"/>
      <c r="R141" s="47" t="str">
        <f>IFERROR(VLOOKUP(L141,#REF!,4,0),"")</f>
        <v/>
      </c>
      <c r="S141" s="53" t="str">
        <f t="shared" si="14"/>
        <v/>
      </c>
      <c r="T141" s="54" t="e">
        <f t="shared" si="15"/>
        <v>#VALUE!</v>
      </c>
      <c r="U141" s="22" t="e">
        <f>IF(E141*J141*M141=0,"",IF((Q141*M141*N141*O141)/E141&lt;IF(IFERROR(VLOOKUP(D141,NBR!$C:$D,2,0),J141)=IFERROR(VLOOKUP(D141,NBR!$C:$F,4,0),J141),J141*0.9,IFERROR(VLOOKUP(D141,NBR!$C:$D,2,0),J141*0.9)),"COLOCAR +"&amp;TEXT(ROUNDUP((E141*J141)/(M141*N141*O141),0)-Q141,"0")&amp;" luminaria(s)",IF((Q141*M141*N141*O141)/E141&gt;IF(IFERROR(VLOOKUP(D141,NBR!$C:$F,4,0),J141)=IFERROR(VLOOKUP(D141,NBR!$C:$D,2,0),J141),J141*1.2,IFERROR(VLOOKUP(D141,NBR!$C:$F,4,0),J141*1.2)),IF(Q141=1,"Reduzir potencia luminaria","RETIRAR -"&amp;TEXT(Q141-ROUNDUP((E141*IF(IFERROR(VLOOKUP(D141,NBR!$C:$F,4,0),J141)=J141,J141*1.2,IFERROR(VLOOKUP(D141,NBR!$C:$F,4,0),J141*1.2)))/(M141*N141*O141),0),"0")&amp;" luminaria(s)"),"OK")))</f>
        <v>#VALUE!</v>
      </c>
      <c r="V141" s="52" t="e">
        <f t="shared" si="12"/>
        <v>#VALUE!</v>
      </c>
      <c r="W141" s="60"/>
      <c r="X141" s="60"/>
      <c r="Y141" s="60"/>
      <c r="AA141" s="61"/>
      <c r="AB141" s="34"/>
      <c r="AC141" s="34"/>
      <c r="AD141" s="34"/>
    </row>
    <row r="142" spans="1:30" ht="18" customHeight="1" x14ac:dyDescent="0.25">
      <c r="A142" s="86"/>
      <c r="B142" s="86"/>
      <c r="C142" s="83"/>
      <c r="D142" s="17"/>
      <c r="E142" s="43" t="str">
        <f t="shared" si="11"/>
        <v/>
      </c>
      <c r="F142" s="43"/>
      <c r="G142" s="27"/>
      <c r="H142" s="27"/>
      <c r="I142" s="27"/>
      <c r="J142" s="44" t="str">
        <f>IFERROR(VLOOKUP(D142,NBR!$C:$E,3,0),"")</f>
        <v/>
      </c>
      <c r="K142" s="43" t="e">
        <f t="shared" si="16"/>
        <v>#VALUE!</v>
      </c>
      <c r="L142" s="45"/>
      <c r="M142" s="46" t="str">
        <f>IFERROR(VLOOKUP(L142,LAMPADAS!$A:$B,2,0),"")</f>
        <v/>
      </c>
      <c r="N142" s="27"/>
      <c r="O142" s="27"/>
      <c r="P142" s="45" t="str">
        <f t="shared" si="17"/>
        <v/>
      </c>
      <c r="Q142" s="29"/>
      <c r="R142" s="47" t="str">
        <f>IFERROR(VLOOKUP(L142,#REF!,4,0),"")</f>
        <v/>
      </c>
      <c r="S142" s="48" t="str">
        <f t="shared" si="14"/>
        <v/>
      </c>
      <c r="T142" s="49" t="e">
        <f t="shared" si="15"/>
        <v>#VALUE!</v>
      </c>
      <c r="U142" s="17" t="e">
        <f>IF(E142*J142*M142=0,"",IF((Q142*M142*N142*O142)/E142&lt;IF(IFERROR(VLOOKUP(D142,NBR!$C:$D,2,0),J142)=IFERROR(VLOOKUP(D142,NBR!$C:$F,4,0),J142),J142*0.9,IFERROR(VLOOKUP(D142,NBR!$C:$D,2,0),J142*0.9)),"COLOCAR +"&amp;TEXT(ROUNDUP((E142*J142)/(M142*N142*O142),0)-Q142,"0")&amp;" luminaria(s)",IF((Q142*M142*N142*O142)/E142&gt;IF(IFERROR(VLOOKUP(D142,NBR!$C:$F,4,0),J142)=IFERROR(VLOOKUP(D142,NBR!$C:$D,2,0),J142),J142*1.2,IFERROR(VLOOKUP(D142,NBR!$C:$F,4,0),J142*1.2)),IF(Q142=1,"Reduzir potencia luminaria","RETIRAR -"&amp;TEXT(Q142-ROUNDUP((E142*IF(IFERROR(VLOOKUP(D142,NBR!$C:$F,4,0),J142)=J142,J142*1.2,IFERROR(VLOOKUP(D142,NBR!$C:$F,4,0),J142*1.2)))/(M142*N142*O142),0),"0")&amp;" luminaria(s)"),"OK")))</f>
        <v>#VALUE!</v>
      </c>
      <c r="V142" s="48" t="e">
        <f t="shared" si="12"/>
        <v>#VALUE!</v>
      </c>
      <c r="W142" s="57"/>
      <c r="X142" s="55"/>
      <c r="Y142" s="56"/>
      <c r="AA142" s="34"/>
      <c r="AB142" s="34"/>
      <c r="AC142" s="34"/>
      <c r="AD142" s="34"/>
    </row>
    <row r="143" spans="1:30" ht="18" customHeight="1" x14ac:dyDescent="0.25">
      <c r="A143" s="85"/>
      <c r="B143" s="85"/>
      <c r="C143" s="58"/>
      <c r="D143" s="59"/>
      <c r="E143" s="50" t="str">
        <f t="shared" si="11"/>
        <v/>
      </c>
      <c r="F143" s="50"/>
      <c r="G143" s="51"/>
      <c r="H143" s="51"/>
      <c r="I143" s="51"/>
      <c r="J143" s="44" t="str">
        <f>IFERROR(VLOOKUP(D143,NBR!$C:$E,3,0),"")</f>
        <v/>
      </c>
      <c r="K143" s="50" t="e">
        <f t="shared" si="16"/>
        <v>#VALUE!</v>
      </c>
      <c r="L143" s="82"/>
      <c r="M143" s="46" t="str">
        <f>IFERROR(VLOOKUP(L143,LAMPADAS!$A:$B,2,0),"")</f>
        <v/>
      </c>
      <c r="N143" s="51"/>
      <c r="O143" s="51"/>
      <c r="P143" s="50" t="str">
        <f t="shared" si="17"/>
        <v/>
      </c>
      <c r="Q143" s="31"/>
      <c r="R143" s="47" t="str">
        <f>IFERROR(VLOOKUP(L143,#REF!,4,0),"")</f>
        <v/>
      </c>
      <c r="S143" s="53" t="str">
        <f t="shared" si="14"/>
        <v/>
      </c>
      <c r="T143" s="54" t="e">
        <f t="shared" si="15"/>
        <v>#VALUE!</v>
      </c>
      <c r="U143" s="22" t="e">
        <f>IF(E143*J143*M143=0,"",IF((Q143*M143*N143*O143)/E143&lt;IF(IFERROR(VLOOKUP(D143,NBR!$C:$D,2,0),J143)=IFERROR(VLOOKUP(D143,NBR!$C:$F,4,0),J143),J143*0.9,IFERROR(VLOOKUP(D143,NBR!$C:$D,2,0),J143*0.9)),"COLOCAR +"&amp;TEXT(ROUNDUP((E143*J143)/(M143*N143*O143),0)-Q143,"0")&amp;" luminaria(s)",IF((Q143*M143*N143*O143)/E143&gt;IF(IFERROR(VLOOKUP(D143,NBR!$C:$F,4,0),J143)=IFERROR(VLOOKUP(D143,NBR!$C:$D,2,0),J143),J143*1.2,IFERROR(VLOOKUP(D143,NBR!$C:$F,4,0),J143*1.2)),IF(Q143=1,"Reduzir potencia luminaria","RETIRAR -"&amp;TEXT(Q143-ROUNDUP((E143*IF(IFERROR(VLOOKUP(D143,NBR!$C:$F,4,0),J143)=J143,J143*1.2,IFERROR(VLOOKUP(D143,NBR!$C:$F,4,0),J143*1.2)))/(M143*N143*O143),0),"0")&amp;" luminaria(s)"),"OK")))</f>
        <v>#VALUE!</v>
      </c>
      <c r="V143" s="52" t="e">
        <f t="shared" si="12"/>
        <v>#VALUE!</v>
      </c>
      <c r="W143" s="60"/>
      <c r="X143" s="60"/>
      <c r="Y143" s="60"/>
      <c r="AA143" s="61"/>
      <c r="AB143" s="34"/>
      <c r="AC143" s="34"/>
      <c r="AD143" s="34"/>
    </row>
    <row r="144" spans="1:30" ht="18" customHeight="1" x14ac:dyDescent="0.25">
      <c r="A144" s="86"/>
      <c r="B144" s="86"/>
      <c r="C144" s="83"/>
      <c r="D144" s="17"/>
      <c r="E144" s="43" t="str">
        <f t="shared" si="11"/>
        <v/>
      </c>
      <c r="F144" s="43"/>
      <c r="G144" s="27"/>
      <c r="H144" s="27"/>
      <c r="I144" s="27"/>
      <c r="J144" s="44" t="str">
        <f>IFERROR(VLOOKUP(D144,NBR!$C:$E,3,0),"")</f>
        <v/>
      </c>
      <c r="K144" s="43" t="e">
        <f t="shared" si="16"/>
        <v>#VALUE!</v>
      </c>
      <c r="L144" s="45"/>
      <c r="M144" s="46" t="str">
        <f>IFERROR(VLOOKUP(L144,LAMPADAS!$A:$B,2,0),"")</f>
        <v/>
      </c>
      <c r="N144" s="27"/>
      <c r="O144" s="27"/>
      <c r="P144" s="45" t="str">
        <f t="shared" si="17"/>
        <v/>
      </c>
      <c r="Q144" s="29"/>
      <c r="R144" s="47" t="str">
        <f>IFERROR(VLOOKUP(L144,#REF!,4,0),"")</f>
        <v/>
      </c>
      <c r="S144" s="48" t="str">
        <f t="shared" si="14"/>
        <v/>
      </c>
      <c r="T144" s="49" t="e">
        <f t="shared" si="15"/>
        <v>#VALUE!</v>
      </c>
      <c r="U144" s="17" t="e">
        <f>IF(E144*J144*M144=0,"",IF((Q144*M144*N144*O144)/E144&lt;IF(IFERROR(VLOOKUP(D144,NBR!$C:$D,2,0),J144)=IFERROR(VLOOKUP(D144,NBR!$C:$F,4,0),J144),J144*0.9,IFERROR(VLOOKUP(D144,NBR!$C:$D,2,0),J144*0.9)),"COLOCAR +"&amp;TEXT(ROUNDUP((E144*J144)/(M144*N144*O144),0)-Q144,"0")&amp;" luminaria(s)",IF((Q144*M144*N144*O144)/E144&gt;IF(IFERROR(VLOOKUP(D144,NBR!$C:$F,4,0),J144)=IFERROR(VLOOKUP(D144,NBR!$C:$D,2,0),J144),J144*1.2,IFERROR(VLOOKUP(D144,NBR!$C:$F,4,0),J144*1.2)),IF(Q144=1,"Reduzir potencia luminaria","RETIRAR -"&amp;TEXT(Q144-ROUNDUP((E144*IF(IFERROR(VLOOKUP(D144,NBR!$C:$F,4,0),J144)=J144,J144*1.2,IFERROR(VLOOKUP(D144,NBR!$C:$F,4,0),J144*1.2)))/(M144*N144*O144),0),"0")&amp;" luminaria(s)"),"OK")))</f>
        <v>#VALUE!</v>
      </c>
      <c r="V144" s="48" t="e">
        <f t="shared" si="12"/>
        <v>#VALUE!</v>
      </c>
      <c r="W144" s="57"/>
      <c r="X144" s="55"/>
      <c r="Y144" s="56"/>
      <c r="AA144" s="34"/>
      <c r="AB144" s="34"/>
      <c r="AC144" s="34"/>
      <c r="AD144" s="34"/>
    </row>
    <row r="145" spans="1:30" ht="18" customHeight="1" x14ac:dyDescent="0.25">
      <c r="A145" s="85"/>
      <c r="B145" s="85"/>
      <c r="C145" s="58"/>
      <c r="D145" s="59"/>
      <c r="E145" s="50" t="str">
        <f t="shared" si="11"/>
        <v/>
      </c>
      <c r="F145" s="50"/>
      <c r="G145" s="51"/>
      <c r="H145" s="51"/>
      <c r="I145" s="51"/>
      <c r="J145" s="44" t="str">
        <f>IFERROR(VLOOKUP(D145,NBR!$C:$E,3,0),"")</f>
        <v/>
      </c>
      <c r="K145" s="50" t="e">
        <f t="shared" si="16"/>
        <v>#VALUE!</v>
      </c>
      <c r="L145" s="82"/>
      <c r="M145" s="46" t="str">
        <f>IFERROR(VLOOKUP(L145,LAMPADAS!$A:$B,2,0),"")</f>
        <v/>
      </c>
      <c r="N145" s="51"/>
      <c r="O145" s="51"/>
      <c r="P145" s="50" t="str">
        <f t="shared" si="17"/>
        <v/>
      </c>
      <c r="Q145" s="31"/>
      <c r="R145" s="47" t="str">
        <f>IFERROR(VLOOKUP(L145,#REF!,4,0),"")</f>
        <v/>
      </c>
      <c r="S145" s="53" t="str">
        <f t="shared" si="14"/>
        <v/>
      </c>
      <c r="T145" s="54" t="e">
        <f t="shared" si="15"/>
        <v>#VALUE!</v>
      </c>
      <c r="U145" s="22" t="e">
        <f>IF(E145*J145*M145=0,"",IF((Q145*M145*N145*O145)/E145&lt;IF(IFERROR(VLOOKUP(D145,NBR!$C:$D,2,0),J145)=IFERROR(VLOOKUP(D145,NBR!$C:$F,4,0),J145),J145*0.9,IFERROR(VLOOKUP(D145,NBR!$C:$D,2,0),J145*0.9)),"COLOCAR +"&amp;TEXT(ROUNDUP((E145*J145)/(M145*N145*O145),0)-Q145,"0")&amp;" luminaria(s)",IF((Q145*M145*N145*O145)/E145&gt;IF(IFERROR(VLOOKUP(D145,NBR!$C:$F,4,0),J145)=IFERROR(VLOOKUP(D145,NBR!$C:$D,2,0),J145),J145*1.2,IFERROR(VLOOKUP(D145,NBR!$C:$F,4,0),J145*1.2)),IF(Q145=1,"Reduzir potencia luminaria","RETIRAR -"&amp;TEXT(Q145-ROUNDUP((E145*IF(IFERROR(VLOOKUP(D145,NBR!$C:$F,4,0),J145)=J145,J145*1.2,IFERROR(VLOOKUP(D145,NBR!$C:$F,4,0),J145*1.2)))/(M145*N145*O145),0),"0")&amp;" luminaria(s)"),"OK")))</f>
        <v>#VALUE!</v>
      </c>
      <c r="V145" s="52" t="e">
        <f t="shared" si="12"/>
        <v>#VALUE!</v>
      </c>
      <c r="W145" s="60"/>
      <c r="X145" s="60"/>
      <c r="Y145" s="60"/>
      <c r="AA145" s="61"/>
      <c r="AB145" s="34"/>
      <c r="AC145" s="34"/>
      <c r="AD145" s="34"/>
    </row>
    <row r="146" spans="1:30" ht="18" customHeight="1" x14ac:dyDescent="0.25">
      <c r="A146" s="86"/>
      <c r="B146" s="86"/>
      <c r="C146" s="83"/>
      <c r="D146" s="17"/>
      <c r="E146" s="43" t="str">
        <f t="shared" si="11"/>
        <v/>
      </c>
      <c r="F146" s="43"/>
      <c r="G146" s="27"/>
      <c r="H146" s="27"/>
      <c r="I146" s="27"/>
      <c r="J146" s="44" t="str">
        <f>IFERROR(VLOOKUP(D146,NBR!$C:$E,3,0),"")</f>
        <v/>
      </c>
      <c r="K146" s="43" t="e">
        <f t="shared" si="16"/>
        <v>#VALUE!</v>
      </c>
      <c r="L146" s="45"/>
      <c r="M146" s="46" t="str">
        <f>IFERROR(VLOOKUP(L146,LAMPADAS!$A:$B,2,0),"")</f>
        <v/>
      </c>
      <c r="N146" s="27"/>
      <c r="O146" s="27"/>
      <c r="P146" s="45" t="str">
        <f t="shared" si="17"/>
        <v/>
      </c>
      <c r="Q146" s="29"/>
      <c r="R146" s="47" t="str">
        <f>IFERROR(VLOOKUP(L146,#REF!,4,0),"")</f>
        <v/>
      </c>
      <c r="S146" s="48" t="str">
        <f t="shared" si="14"/>
        <v/>
      </c>
      <c r="T146" s="49" t="e">
        <f t="shared" si="15"/>
        <v>#VALUE!</v>
      </c>
      <c r="U146" s="17" t="e">
        <f>IF(E146*J146*M146=0,"",IF((Q146*M146*N146*O146)/E146&lt;IF(IFERROR(VLOOKUP(D146,NBR!$C:$D,2,0),J146)=IFERROR(VLOOKUP(D146,NBR!$C:$F,4,0),J146),J146*0.9,IFERROR(VLOOKUP(D146,NBR!$C:$D,2,0),J146*0.9)),"COLOCAR +"&amp;TEXT(ROUNDUP((E146*J146)/(M146*N146*O146),0)-Q146,"0")&amp;" luminaria(s)",IF((Q146*M146*N146*O146)/E146&gt;IF(IFERROR(VLOOKUP(D146,NBR!$C:$F,4,0),J146)=IFERROR(VLOOKUP(D146,NBR!$C:$D,2,0),J146),J146*1.2,IFERROR(VLOOKUP(D146,NBR!$C:$F,4,0),J146*1.2)),IF(Q146=1,"Reduzir potencia luminaria","RETIRAR -"&amp;TEXT(Q146-ROUNDUP((E146*IF(IFERROR(VLOOKUP(D146,NBR!$C:$F,4,0),J146)=J146,J146*1.2,IFERROR(VLOOKUP(D146,NBR!$C:$F,4,0),J146*1.2)))/(M146*N146*O146),0),"0")&amp;" luminaria(s)"),"OK")))</f>
        <v>#VALUE!</v>
      </c>
      <c r="V146" s="48" t="e">
        <f t="shared" si="12"/>
        <v>#VALUE!</v>
      </c>
      <c r="W146" s="57"/>
      <c r="X146" s="55"/>
      <c r="Y146" s="56"/>
      <c r="AA146" s="34"/>
      <c r="AB146" s="34"/>
      <c r="AC146" s="34"/>
      <c r="AD146" s="34"/>
    </row>
    <row r="147" spans="1:30" ht="18" customHeight="1" x14ac:dyDescent="0.25">
      <c r="A147" s="85"/>
      <c r="B147" s="85"/>
      <c r="C147" s="58"/>
      <c r="D147" s="59"/>
      <c r="E147" s="50" t="str">
        <f t="shared" si="11"/>
        <v/>
      </c>
      <c r="F147" s="50"/>
      <c r="G147" s="51"/>
      <c r="H147" s="51"/>
      <c r="I147" s="51"/>
      <c r="J147" s="44" t="str">
        <f>IFERROR(VLOOKUP(D147,NBR!$C:$E,3,0),"")</f>
        <v/>
      </c>
      <c r="K147" s="50" t="e">
        <f t="shared" si="16"/>
        <v>#VALUE!</v>
      </c>
      <c r="L147" s="82"/>
      <c r="M147" s="46" t="str">
        <f>IFERROR(VLOOKUP(L147,LAMPADAS!$A:$B,2,0),"")</f>
        <v/>
      </c>
      <c r="N147" s="51"/>
      <c r="O147" s="51"/>
      <c r="P147" s="50" t="str">
        <f t="shared" si="17"/>
        <v/>
      </c>
      <c r="Q147" s="31"/>
      <c r="R147" s="47" t="str">
        <f>IFERROR(VLOOKUP(L147,#REF!,4,0),"")</f>
        <v/>
      </c>
      <c r="S147" s="53" t="str">
        <f t="shared" si="14"/>
        <v/>
      </c>
      <c r="T147" s="54" t="e">
        <f t="shared" si="15"/>
        <v>#VALUE!</v>
      </c>
      <c r="U147" s="22" t="e">
        <f>IF(E147*J147*M147=0,"",IF((Q147*M147*N147*O147)/E147&lt;IF(IFERROR(VLOOKUP(D147,NBR!$C:$D,2,0),J147)=IFERROR(VLOOKUP(D147,NBR!$C:$F,4,0),J147),J147*0.9,IFERROR(VLOOKUP(D147,NBR!$C:$D,2,0),J147*0.9)),"COLOCAR +"&amp;TEXT(ROUNDUP((E147*J147)/(M147*N147*O147),0)-Q147,"0")&amp;" luminaria(s)",IF((Q147*M147*N147*O147)/E147&gt;IF(IFERROR(VLOOKUP(D147,NBR!$C:$F,4,0),J147)=IFERROR(VLOOKUP(D147,NBR!$C:$D,2,0),J147),J147*1.2,IFERROR(VLOOKUP(D147,NBR!$C:$F,4,0),J147*1.2)),IF(Q147=1,"Reduzir potencia luminaria","RETIRAR -"&amp;TEXT(Q147-ROUNDUP((E147*IF(IFERROR(VLOOKUP(D147,NBR!$C:$F,4,0),J147)=J147,J147*1.2,IFERROR(VLOOKUP(D147,NBR!$C:$F,4,0),J147*1.2)))/(M147*N147*O147),0),"0")&amp;" luminaria(s)"),"OK")))</f>
        <v>#VALUE!</v>
      </c>
      <c r="V147" s="52" t="e">
        <f t="shared" si="12"/>
        <v>#VALUE!</v>
      </c>
      <c r="W147" s="60"/>
      <c r="X147" s="60"/>
      <c r="Y147" s="60"/>
      <c r="AA147" s="61"/>
      <c r="AB147" s="34"/>
      <c r="AC147" s="34"/>
      <c r="AD147" s="34"/>
    </row>
    <row r="148" spans="1:30" ht="18" customHeight="1" x14ac:dyDescent="0.25">
      <c r="A148" s="86"/>
      <c r="B148" s="86"/>
      <c r="C148" s="83"/>
      <c r="D148" s="17"/>
      <c r="E148" s="43" t="str">
        <f t="shared" si="11"/>
        <v/>
      </c>
      <c r="F148" s="43"/>
      <c r="G148" s="27"/>
      <c r="H148" s="27"/>
      <c r="I148" s="27"/>
      <c r="J148" s="44" t="str">
        <f>IFERROR(VLOOKUP(D148,NBR!$C:$E,3,0),"")</f>
        <v/>
      </c>
      <c r="K148" s="43" t="e">
        <f t="shared" si="16"/>
        <v>#VALUE!</v>
      </c>
      <c r="L148" s="45"/>
      <c r="M148" s="46" t="str">
        <f>IFERROR(VLOOKUP(L148,LAMPADAS!$A:$B,2,0),"")</f>
        <v/>
      </c>
      <c r="N148" s="27"/>
      <c r="O148" s="27"/>
      <c r="P148" s="45" t="str">
        <f t="shared" si="17"/>
        <v/>
      </c>
      <c r="Q148" s="29"/>
      <c r="R148" s="47" t="str">
        <f>IFERROR(VLOOKUP(L148,#REF!,4,0),"")</f>
        <v/>
      </c>
      <c r="S148" s="48" t="str">
        <f t="shared" si="14"/>
        <v/>
      </c>
      <c r="T148" s="49" t="e">
        <f t="shared" si="15"/>
        <v>#VALUE!</v>
      </c>
      <c r="U148" s="17" t="e">
        <f>IF(E148*J148*M148=0,"",IF((Q148*M148*N148*O148)/E148&lt;IF(IFERROR(VLOOKUP(D148,NBR!$C:$D,2,0),J148)=IFERROR(VLOOKUP(D148,NBR!$C:$F,4,0),J148),J148*0.9,IFERROR(VLOOKUP(D148,NBR!$C:$D,2,0),J148*0.9)),"COLOCAR +"&amp;TEXT(ROUNDUP((E148*J148)/(M148*N148*O148),0)-Q148,"0")&amp;" luminaria(s)",IF((Q148*M148*N148*O148)/E148&gt;IF(IFERROR(VLOOKUP(D148,NBR!$C:$F,4,0),J148)=IFERROR(VLOOKUP(D148,NBR!$C:$D,2,0),J148),J148*1.2,IFERROR(VLOOKUP(D148,NBR!$C:$F,4,0),J148*1.2)),IF(Q148=1,"Reduzir potencia luminaria","RETIRAR -"&amp;TEXT(Q148-ROUNDUP((E148*IF(IFERROR(VLOOKUP(D148,NBR!$C:$F,4,0),J148)=J148,J148*1.2,IFERROR(VLOOKUP(D148,NBR!$C:$F,4,0),J148*1.2)))/(M148*N148*O148),0),"0")&amp;" luminaria(s)"),"OK")))</f>
        <v>#VALUE!</v>
      </c>
      <c r="V148" s="48" t="e">
        <f t="shared" si="12"/>
        <v>#VALUE!</v>
      </c>
      <c r="W148" s="57"/>
      <c r="X148" s="55"/>
      <c r="Y148" s="56"/>
      <c r="AA148" s="34"/>
      <c r="AB148" s="34"/>
      <c r="AC148" s="34"/>
      <c r="AD148" s="34"/>
    </row>
    <row r="149" spans="1:30" ht="18" customHeight="1" x14ac:dyDescent="0.25">
      <c r="A149" s="85"/>
      <c r="B149" s="85"/>
      <c r="C149" s="58"/>
      <c r="D149" s="59"/>
      <c r="E149" s="50" t="str">
        <f t="shared" si="11"/>
        <v/>
      </c>
      <c r="F149" s="50"/>
      <c r="G149" s="51"/>
      <c r="H149" s="51"/>
      <c r="I149" s="51"/>
      <c r="J149" s="44" t="str">
        <f>IFERROR(VLOOKUP(D149,NBR!$C:$E,3,0),"")</f>
        <v/>
      </c>
      <c r="K149" s="50" t="e">
        <f t="shared" si="16"/>
        <v>#VALUE!</v>
      </c>
      <c r="L149" s="82"/>
      <c r="M149" s="46" t="str">
        <f>IFERROR(VLOOKUP(L149,LAMPADAS!$A:$B,2,0),"")</f>
        <v/>
      </c>
      <c r="N149" s="51"/>
      <c r="O149" s="51"/>
      <c r="P149" s="50" t="str">
        <f t="shared" si="17"/>
        <v/>
      </c>
      <c r="Q149" s="31"/>
      <c r="R149" s="47" t="str">
        <f>IFERROR(VLOOKUP(L149,#REF!,4,0),"")</f>
        <v/>
      </c>
      <c r="S149" s="53" t="str">
        <f t="shared" si="14"/>
        <v/>
      </c>
      <c r="T149" s="54" t="e">
        <f t="shared" si="15"/>
        <v>#VALUE!</v>
      </c>
      <c r="U149" s="22" t="e">
        <f>IF(E149*J149*M149=0,"",IF((Q149*M149*N149*O149)/E149&lt;IF(IFERROR(VLOOKUP(D149,NBR!$C:$D,2,0),J149)=IFERROR(VLOOKUP(D149,NBR!$C:$F,4,0),J149),J149*0.9,IFERROR(VLOOKUP(D149,NBR!$C:$D,2,0),J149*0.9)),"COLOCAR +"&amp;TEXT(ROUNDUP((E149*J149)/(M149*N149*O149),0)-Q149,"0")&amp;" luminaria(s)",IF((Q149*M149*N149*O149)/E149&gt;IF(IFERROR(VLOOKUP(D149,NBR!$C:$F,4,0),J149)=IFERROR(VLOOKUP(D149,NBR!$C:$D,2,0),J149),J149*1.2,IFERROR(VLOOKUP(D149,NBR!$C:$F,4,0),J149*1.2)),IF(Q149=1,"Reduzir potencia luminaria","RETIRAR -"&amp;TEXT(Q149-ROUNDUP((E149*IF(IFERROR(VLOOKUP(D149,NBR!$C:$F,4,0),J149)=J149,J149*1.2,IFERROR(VLOOKUP(D149,NBR!$C:$F,4,0),J149*1.2)))/(M149*N149*O149),0),"0")&amp;" luminaria(s)"),"OK")))</f>
        <v>#VALUE!</v>
      </c>
      <c r="V149" s="52" t="e">
        <f t="shared" si="12"/>
        <v>#VALUE!</v>
      </c>
      <c r="W149" s="60"/>
      <c r="X149" s="60"/>
      <c r="Y149" s="60"/>
      <c r="AA149" s="61"/>
      <c r="AB149" s="34"/>
      <c r="AC149" s="34"/>
      <c r="AD149" s="34"/>
    </row>
    <row r="150" spans="1:30" ht="18" customHeight="1" x14ac:dyDescent="0.25">
      <c r="A150" s="86"/>
      <c r="B150" s="86"/>
      <c r="C150" s="83"/>
      <c r="D150" s="17"/>
      <c r="E150" s="43" t="str">
        <f t="shared" si="11"/>
        <v/>
      </c>
      <c r="F150" s="43"/>
      <c r="G150" s="27"/>
      <c r="H150" s="27"/>
      <c r="I150" s="27"/>
      <c r="J150" s="44" t="str">
        <f>IFERROR(VLOOKUP(D150,NBR!$C:$E,3,0),"")</f>
        <v/>
      </c>
      <c r="K150" s="43" t="e">
        <f t="shared" si="16"/>
        <v>#VALUE!</v>
      </c>
      <c r="L150" s="45"/>
      <c r="M150" s="46" t="str">
        <f>IFERROR(VLOOKUP(L150,LAMPADAS!$A:$B,2,0),"")</f>
        <v/>
      </c>
      <c r="N150" s="27"/>
      <c r="O150" s="27"/>
      <c r="P150" s="45" t="str">
        <f t="shared" si="17"/>
        <v/>
      </c>
      <c r="Q150" s="29"/>
      <c r="R150" s="47" t="str">
        <f>IFERROR(VLOOKUP(L150,#REF!,4,0),"")</f>
        <v/>
      </c>
      <c r="S150" s="48" t="str">
        <f t="shared" si="14"/>
        <v/>
      </c>
      <c r="T150" s="49" t="e">
        <f t="shared" si="15"/>
        <v>#VALUE!</v>
      </c>
      <c r="U150" s="17" t="e">
        <f>IF(E150*J150*M150=0,"",IF((Q150*M150*N150*O150)/E150&lt;IF(IFERROR(VLOOKUP(D150,NBR!$C:$D,2,0),J150)=IFERROR(VLOOKUP(D150,NBR!$C:$F,4,0),J150),J150*0.9,IFERROR(VLOOKUP(D150,NBR!$C:$D,2,0),J150*0.9)),"COLOCAR +"&amp;TEXT(ROUNDUP((E150*J150)/(M150*N150*O150),0)-Q150,"0")&amp;" luminaria(s)",IF((Q150*M150*N150*O150)/E150&gt;IF(IFERROR(VLOOKUP(D150,NBR!$C:$F,4,0),J150)=IFERROR(VLOOKUP(D150,NBR!$C:$D,2,0),J150),J150*1.2,IFERROR(VLOOKUP(D150,NBR!$C:$F,4,0),J150*1.2)),IF(Q150=1,"Reduzir potencia luminaria","RETIRAR -"&amp;TEXT(Q150-ROUNDUP((E150*IF(IFERROR(VLOOKUP(D150,NBR!$C:$F,4,0),J150)=J150,J150*1.2,IFERROR(VLOOKUP(D150,NBR!$C:$F,4,0),J150*1.2)))/(M150*N150*O150),0),"0")&amp;" luminaria(s)"),"OK")))</f>
        <v>#VALUE!</v>
      </c>
      <c r="V150" s="48" t="e">
        <f t="shared" si="12"/>
        <v>#VALUE!</v>
      </c>
      <c r="W150" s="57"/>
      <c r="X150" s="55"/>
      <c r="Y150" s="56"/>
      <c r="AA150" s="34"/>
      <c r="AB150" s="34"/>
      <c r="AC150" s="34"/>
      <c r="AD150" s="34"/>
    </row>
    <row r="151" spans="1:30" ht="18" customHeight="1" x14ac:dyDescent="0.25">
      <c r="A151" s="85"/>
      <c r="B151" s="85"/>
      <c r="C151" s="58"/>
      <c r="D151" s="59"/>
      <c r="E151" s="50" t="str">
        <f t="shared" si="11"/>
        <v/>
      </c>
      <c r="F151" s="50"/>
      <c r="G151" s="51"/>
      <c r="H151" s="51"/>
      <c r="I151" s="51"/>
      <c r="J151" s="44" t="str">
        <f>IFERROR(VLOOKUP(D151,NBR!$C:$E,3,0),"")</f>
        <v/>
      </c>
      <c r="K151" s="50" t="e">
        <f t="shared" si="16"/>
        <v>#VALUE!</v>
      </c>
      <c r="L151" s="82"/>
      <c r="M151" s="46" t="str">
        <f>IFERROR(VLOOKUP(L151,LAMPADAS!$A:$B,2,0),"")</f>
        <v/>
      </c>
      <c r="N151" s="51"/>
      <c r="O151" s="51"/>
      <c r="P151" s="50" t="str">
        <f t="shared" si="17"/>
        <v/>
      </c>
      <c r="Q151" s="31"/>
      <c r="R151" s="47" t="str">
        <f>IFERROR(VLOOKUP(L151,#REF!,4,0),"")</f>
        <v/>
      </c>
      <c r="S151" s="53" t="str">
        <f t="shared" si="14"/>
        <v/>
      </c>
      <c r="T151" s="54" t="e">
        <f t="shared" si="15"/>
        <v>#VALUE!</v>
      </c>
      <c r="U151" s="22" t="e">
        <f>IF(E151*J151*M151=0,"",IF((Q151*M151*N151*O151)/E151&lt;IF(IFERROR(VLOOKUP(D151,NBR!$C:$D,2,0),J151)=IFERROR(VLOOKUP(D151,NBR!$C:$F,4,0),J151),J151*0.9,IFERROR(VLOOKUP(D151,NBR!$C:$D,2,0),J151*0.9)),"COLOCAR +"&amp;TEXT(ROUNDUP((E151*J151)/(M151*N151*O151),0)-Q151,"0")&amp;" luminaria(s)",IF((Q151*M151*N151*O151)/E151&gt;IF(IFERROR(VLOOKUP(D151,NBR!$C:$F,4,0),J151)=IFERROR(VLOOKUP(D151,NBR!$C:$D,2,0),J151),J151*1.2,IFERROR(VLOOKUP(D151,NBR!$C:$F,4,0),J151*1.2)),IF(Q151=1,"Reduzir potencia luminaria","RETIRAR -"&amp;TEXT(Q151-ROUNDUP((E151*IF(IFERROR(VLOOKUP(D151,NBR!$C:$F,4,0),J151)=J151,J151*1.2,IFERROR(VLOOKUP(D151,NBR!$C:$F,4,0),J151*1.2)))/(M151*N151*O151),0),"0")&amp;" luminaria(s)"),"OK")))</f>
        <v>#VALUE!</v>
      </c>
      <c r="V151" s="52" t="e">
        <f t="shared" si="12"/>
        <v>#VALUE!</v>
      </c>
      <c r="W151" s="60"/>
      <c r="X151" s="60"/>
      <c r="Y151" s="60"/>
      <c r="AA151" s="61"/>
      <c r="AB151" s="34"/>
      <c r="AC151" s="34"/>
      <c r="AD151" s="34"/>
    </row>
    <row r="152" spans="1:30" ht="18" customHeight="1" x14ac:dyDescent="0.25">
      <c r="A152" s="86"/>
      <c r="B152" s="86"/>
      <c r="C152" s="83"/>
      <c r="D152" s="17"/>
      <c r="E152" s="43" t="str">
        <f t="shared" si="11"/>
        <v/>
      </c>
      <c r="F152" s="43"/>
      <c r="G152" s="27"/>
      <c r="H152" s="27"/>
      <c r="I152" s="27"/>
      <c r="J152" s="44" t="str">
        <f>IFERROR(VLOOKUP(D152,NBR!$C:$E,3,0),"")</f>
        <v/>
      </c>
      <c r="K152" s="43" t="e">
        <f t="shared" si="16"/>
        <v>#VALUE!</v>
      </c>
      <c r="L152" s="45"/>
      <c r="M152" s="46" t="str">
        <f>IFERROR(VLOOKUP(L152,#REF!,2,0),"")</f>
        <v/>
      </c>
      <c r="N152" s="27"/>
      <c r="O152" s="27"/>
      <c r="P152" s="45" t="str">
        <f t="shared" si="17"/>
        <v/>
      </c>
      <c r="Q152" s="29"/>
      <c r="R152" s="47" t="str">
        <f>IFERROR(VLOOKUP(L152,#REF!,4,0),"")</f>
        <v/>
      </c>
      <c r="S152" s="48" t="str">
        <f t="shared" si="14"/>
        <v/>
      </c>
      <c r="T152" s="49" t="e">
        <f t="shared" si="15"/>
        <v>#VALUE!</v>
      </c>
      <c r="U152" s="17" t="e">
        <f>IF(E152*J152*M152=0,"",IF((Q152*M152*N152*O152)/E152&lt;IF(IFERROR(VLOOKUP(D152,NBR!$C:$D,2,0),J152)=IFERROR(VLOOKUP(D152,NBR!$C:$F,4,0),J152),J152*0.9,IFERROR(VLOOKUP(D152,NBR!$C:$D,2,0),J152*0.9)),"COLOCAR +"&amp;TEXT(ROUNDUP((E152*J152)/(M152*N152*O152),0)-Q152,"0")&amp;" luminaria(s)",IF((Q152*M152*N152*O152)/E152&gt;IF(IFERROR(VLOOKUP(D152,NBR!$C:$F,4,0),J152)=IFERROR(VLOOKUP(D152,NBR!$C:$D,2,0),J152),J152*1.2,IFERROR(VLOOKUP(D152,NBR!$C:$F,4,0),J152*1.2)),IF(Q152=1,"Reduzir potencia luminaria","RETIRAR -"&amp;TEXT(Q152-ROUNDUP((E152*IF(IFERROR(VLOOKUP(D152,NBR!$C:$F,4,0),J152)=J152,J152*1.2,IFERROR(VLOOKUP(D152,NBR!$C:$F,4,0),J152*1.2)))/(M152*N152*O152),0),"0")&amp;" luminaria(s)"),"OK")))</f>
        <v>#VALUE!</v>
      </c>
      <c r="V152" s="48" t="e">
        <f t="shared" si="12"/>
        <v>#VALUE!</v>
      </c>
      <c r="W152" s="57"/>
      <c r="X152" s="55"/>
      <c r="Y152" s="56"/>
      <c r="AA152" s="34"/>
      <c r="AB152" s="34"/>
      <c r="AC152" s="34"/>
      <c r="AD152" s="34"/>
    </row>
    <row r="153" spans="1:30" ht="18" customHeight="1" x14ac:dyDescent="0.25">
      <c r="A153" s="85"/>
      <c r="B153" s="85"/>
      <c r="C153" s="58"/>
      <c r="D153" s="59"/>
      <c r="E153" s="50" t="str">
        <f t="shared" si="11"/>
        <v/>
      </c>
      <c r="F153" s="50"/>
      <c r="G153" s="51"/>
      <c r="H153" s="51"/>
      <c r="I153" s="51"/>
      <c r="J153" s="44" t="str">
        <f>IFERROR(VLOOKUP(D153,NBR!$C:$E,3,0),"")</f>
        <v/>
      </c>
      <c r="K153" s="50" t="e">
        <f t="shared" si="16"/>
        <v>#VALUE!</v>
      </c>
      <c r="L153" s="82"/>
      <c r="M153" s="46" t="str">
        <f>IFERROR(VLOOKUP(L153,#REF!,2,0),"")</f>
        <v/>
      </c>
      <c r="N153" s="51"/>
      <c r="O153" s="51"/>
      <c r="P153" s="50" t="str">
        <f t="shared" si="17"/>
        <v/>
      </c>
      <c r="Q153" s="31"/>
      <c r="R153" s="47" t="str">
        <f>IFERROR(VLOOKUP(L153,#REF!,4,0),"")</f>
        <v/>
      </c>
      <c r="S153" s="53" t="str">
        <f t="shared" si="14"/>
        <v/>
      </c>
      <c r="T153" s="54" t="e">
        <f t="shared" si="15"/>
        <v>#VALUE!</v>
      </c>
      <c r="U153" s="22" t="e">
        <f>IF(E153*J153*M153=0,"",IF((Q153*M153*N153*O153)/E153&lt;IF(IFERROR(VLOOKUP(D153,NBR!$C:$D,2,0),J153)=IFERROR(VLOOKUP(D153,NBR!$C:$F,4,0),J153),J153*0.9,IFERROR(VLOOKUP(D153,NBR!$C:$D,2,0),J153*0.9)),"COLOCAR +"&amp;TEXT(ROUNDUP((E153*J153)/(M153*N153*O153),0)-Q153,"0")&amp;" luminaria(s)",IF((Q153*M153*N153*O153)/E153&gt;IF(IFERROR(VLOOKUP(D153,NBR!$C:$F,4,0),J153)=IFERROR(VLOOKUP(D153,NBR!$C:$D,2,0),J153),J153*1.2,IFERROR(VLOOKUP(D153,NBR!$C:$F,4,0),J153*1.2)),IF(Q153=1,"Reduzir potencia luminaria","RETIRAR -"&amp;TEXT(Q153-ROUNDUP((E153*IF(IFERROR(VLOOKUP(D153,NBR!$C:$F,4,0),J153)=J153,J153*1.2,IFERROR(VLOOKUP(D153,NBR!$C:$F,4,0),J153*1.2)))/(M153*N153*O153),0),"0")&amp;" luminaria(s)"),"OK")))</f>
        <v>#VALUE!</v>
      </c>
      <c r="V153" s="52" t="e">
        <f t="shared" si="12"/>
        <v>#VALUE!</v>
      </c>
      <c r="W153" s="60"/>
      <c r="X153" s="60"/>
      <c r="Y153" s="60"/>
      <c r="AA153" s="61"/>
      <c r="AB153" s="34"/>
      <c r="AC153" s="34"/>
      <c r="AD153" s="34"/>
    </row>
    <row r="154" spans="1:30" ht="18" customHeight="1" x14ac:dyDescent="0.25">
      <c r="A154" s="86"/>
      <c r="B154" s="86"/>
      <c r="C154" s="83"/>
      <c r="D154" s="17"/>
      <c r="E154" s="43" t="str">
        <f t="shared" si="11"/>
        <v/>
      </c>
      <c r="F154" s="43"/>
      <c r="G154" s="27"/>
      <c r="H154" s="27"/>
      <c r="I154" s="27"/>
      <c r="J154" s="44" t="str">
        <f>IFERROR(VLOOKUP(D154,NBR!$C:$E,3,0),"")</f>
        <v/>
      </c>
      <c r="K154" s="43" t="e">
        <f t="shared" si="16"/>
        <v>#VALUE!</v>
      </c>
      <c r="L154" s="45"/>
      <c r="M154" s="46" t="str">
        <f>IFERROR(VLOOKUP(L154,#REF!,2,0),"")</f>
        <v/>
      </c>
      <c r="N154" s="27"/>
      <c r="O154" s="27"/>
      <c r="P154" s="45" t="str">
        <f t="shared" si="17"/>
        <v/>
      </c>
      <c r="Q154" s="29"/>
      <c r="R154" s="47" t="str">
        <f>IFERROR(VLOOKUP(L154,#REF!,4,0),"")</f>
        <v/>
      </c>
      <c r="S154" s="48" t="str">
        <f t="shared" si="14"/>
        <v/>
      </c>
      <c r="T154" s="49" t="e">
        <f t="shared" si="15"/>
        <v>#VALUE!</v>
      </c>
      <c r="U154" s="17" t="e">
        <f>IF(E154*J154*M154=0,"",IF((Q154*M154*N154*O154)/E154&lt;IF(IFERROR(VLOOKUP(D154,NBR!$C:$D,2,0),J154)=IFERROR(VLOOKUP(D154,NBR!$C:$F,4,0),J154),J154*0.9,IFERROR(VLOOKUP(D154,NBR!$C:$D,2,0),J154*0.9)),"COLOCAR +"&amp;TEXT(ROUNDUP((E154*J154)/(M154*N154*O154),0)-Q154,"0")&amp;" luminaria(s)",IF((Q154*M154*N154*O154)/E154&gt;IF(IFERROR(VLOOKUP(D154,NBR!$C:$F,4,0),J154)=IFERROR(VLOOKUP(D154,NBR!$C:$D,2,0),J154),J154*1.2,IFERROR(VLOOKUP(D154,NBR!$C:$F,4,0),J154*1.2)),IF(Q154=1,"Reduzir potencia luminaria","RETIRAR -"&amp;TEXT(Q154-ROUNDUP((E154*IF(IFERROR(VLOOKUP(D154,NBR!$C:$F,4,0),J154)=J154,J154*1.2,IFERROR(VLOOKUP(D154,NBR!$C:$F,4,0),J154*1.2)))/(M154*N154*O154),0),"0")&amp;" luminaria(s)"),"OK")))</f>
        <v>#VALUE!</v>
      </c>
      <c r="V154" s="48" t="e">
        <f t="shared" si="12"/>
        <v>#VALUE!</v>
      </c>
      <c r="W154" s="57"/>
      <c r="X154" s="55"/>
      <c r="Y154" s="56"/>
      <c r="AA154" s="34"/>
      <c r="AB154" s="34"/>
      <c r="AC154" s="34"/>
      <c r="AD154" s="34"/>
    </row>
    <row r="155" spans="1:30" ht="18" customHeight="1" x14ac:dyDescent="0.25">
      <c r="A155" s="85"/>
      <c r="B155" s="85"/>
      <c r="C155" s="58"/>
      <c r="D155" s="59"/>
      <c r="E155" s="50" t="str">
        <f t="shared" si="11"/>
        <v/>
      </c>
      <c r="F155" s="50"/>
      <c r="G155" s="51"/>
      <c r="H155" s="51"/>
      <c r="I155" s="51"/>
      <c r="J155" s="44" t="str">
        <f>IFERROR(VLOOKUP(D155,NBR!$C:$E,3,0),"")</f>
        <v/>
      </c>
      <c r="K155" s="50" t="e">
        <f t="shared" si="16"/>
        <v>#VALUE!</v>
      </c>
      <c r="L155" s="82"/>
      <c r="M155" s="46" t="str">
        <f>IFERROR(VLOOKUP(L155,#REF!,2,0),"")</f>
        <v/>
      </c>
      <c r="N155" s="51"/>
      <c r="O155" s="51"/>
      <c r="P155" s="50" t="str">
        <f t="shared" si="17"/>
        <v/>
      </c>
      <c r="Q155" s="31"/>
      <c r="R155" s="47" t="str">
        <f>IFERROR(VLOOKUP(L155,#REF!,4,0),"")</f>
        <v/>
      </c>
      <c r="S155" s="53" t="str">
        <f t="shared" si="14"/>
        <v/>
      </c>
      <c r="T155" s="54" t="e">
        <f t="shared" si="15"/>
        <v>#VALUE!</v>
      </c>
      <c r="U155" s="22" t="e">
        <f>IF(E155*J155*M155=0,"",IF((Q155*M155*N155*O155)/E155&lt;IF(IFERROR(VLOOKUP(D155,NBR!$C:$D,2,0),J155)=IFERROR(VLOOKUP(D155,NBR!$C:$F,4,0),J155),J155*0.9,IFERROR(VLOOKUP(D155,NBR!$C:$D,2,0),J155*0.9)),"COLOCAR +"&amp;TEXT(ROUNDUP((E155*J155)/(M155*N155*O155),0)-Q155,"0")&amp;" luminaria(s)",IF((Q155*M155*N155*O155)/E155&gt;IF(IFERROR(VLOOKUP(D155,NBR!$C:$F,4,0),J155)=IFERROR(VLOOKUP(D155,NBR!$C:$D,2,0),J155),J155*1.2,IFERROR(VLOOKUP(D155,NBR!$C:$F,4,0),J155*1.2)),IF(Q155=1,"Reduzir potencia luminaria","RETIRAR -"&amp;TEXT(Q155-ROUNDUP((E155*IF(IFERROR(VLOOKUP(D155,NBR!$C:$F,4,0),J155)=J155,J155*1.2,IFERROR(VLOOKUP(D155,NBR!$C:$F,4,0),J155*1.2)))/(M155*N155*O155),0),"0")&amp;" luminaria(s)"),"OK")))</f>
        <v>#VALUE!</v>
      </c>
      <c r="V155" s="52" t="e">
        <f t="shared" si="12"/>
        <v>#VALUE!</v>
      </c>
      <c r="W155" s="60"/>
      <c r="X155" s="60"/>
      <c r="Y155" s="60"/>
      <c r="AA155" s="61"/>
      <c r="AB155" s="34"/>
      <c r="AC155" s="34"/>
      <c r="AD155" s="34"/>
    </row>
    <row r="156" spans="1:30" ht="18" customHeight="1" x14ac:dyDescent="0.25">
      <c r="A156" s="86"/>
      <c r="B156" s="86"/>
      <c r="C156" s="83"/>
      <c r="D156" s="17"/>
      <c r="E156" s="43" t="str">
        <f t="shared" si="11"/>
        <v/>
      </c>
      <c r="F156" s="43"/>
      <c r="G156" s="27"/>
      <c r="H156" s="27"/>
      <c r="I156" s="27"/>
      <c r="J156" s="44" t="str">
        <f>IFERROR(VLOOKUP(D156,NBR!$C:$E,3,0),"")</f>
        <v/>
      </c>
      <c r="K156" s="43" t="e">
        <f t="shared" si="16"/>
        <v>#VALUE!</v>
      </c>
      <c r="L156" s="45"/>
      <c r="M156" s="46" t="str">
        <f>IFERROR(VLOOKUP(L156,#REF!,2,0),"")</f>
        <v/>
      </c>
      <c r="N156" s="27"/>
      <c r="O156" s="27"/>
      <c r="P156" s="45" t="str">
        <f t="shared" si="17"/>
        <v/>
      </c>
      <c r="Q156" s="29"/>
      <c r="R156" s="47" t="str">
        <f>IFERROR(VLOOKUP(L156,#REF!,4,0),"")</f>
        <v/>
      </c>
      <c r="S156" s="48" t="str">
        <f t="shared" si="14"/>
        <v/>
      </c>
      <c r="T156" s="49" t="e">
        <f t="shared" si="15"/>
        <v>#VALUE!</v>
      </c>
      <c r="U156" s="17" t="e">
        <f>IF(E156*J156*M156=0,"",IF((Q156*M156*N156*O156)/E156&lt;IF(IFERROR(VLOOKUP(D156,NBR!$C:$D,2,0),J156)=IFERROR(VLOOKUP(D156,NBR!$C:$F,4,0),J156),J156*0.9,IFERROR(VLOOKUP(D156,NBR!$C:$D,2,0),J156*0.9)),"COLOCAR +"&amp;TEXT(ROUNDUP((E156*J156)/(M156*N156*O156),0)-Q156,"0")&amp;" luminaria(s)",IF((Q156*M156*N156*O156)/E156&gt;IF(IFERROR(VLOOKUP(D156,NBR!$C:$F,4,0),J156)=IFERROR(VLOOKUP(D156,NBR!$C:$D,2,0),J156),J156*1.2,IFERROR(VLOOKUP(D156,NBR!$C:$F,4,0),J156*1.2)),IF(Q156=1,"Reduzir potencia luminaria","RETIRAR -"&amp;TEXT(Q156-ROUNDUP((E156*IF(IFERROR(VLOOKUP(D156,NBR!$C:$F,4,0),J156)=J156,J156*1.2,IFERROR(VLOOKUP(D156,NBR!$C:$F,4,0),J156*1.2)))/(M156*N156*O156),0),"0")&amp;" luminaria(s)"),"OK")))</f>
        <v>#VALUE!</v>
      </c>
      <c r="V156" s="48" t="e">
        <f t="shared" si="12"/>
        <v>#VALUE!</v>
      </c>
      <c r="W156" s="57"/>
      <c r="X156" s="55"/>
      <c r="Y156" s="56"/>
      <c r="AA156" s="34"/>
      <c r="AB156" s="34"/>
      <c r="AC156" s="34"/>
      <c r="AD156" s="34"/>
    </row>
    <row r="157" spans="1:30" ht="18" customHeight="1" x14ac:dyDescent="0.25">
      <c r="A157" s="85"/>
      <c r="B157" s="85"/>
      <c r="C157" s="58"/>
      <c r="D157" s="59"/>
      <c r="E157" s="50" t="str">
        <f t="shared" ref="E157:E168" si="18">IF(G157*H157=0,"",ROUND(G157*H157,2))</f>
        <v/>
      </c>
      <c r="F157" s="50"/>
      <c r="G157" s="51"/>
      <c r="H157" s="51"/>
      <c r="I157" s="51"/>
      <c r="J157" s="44" t="str">
        <f>IFERROR(VLOOKUP(D157,NBR!$C:$E,3,0),"")</f>
        <v/>
      </c>
      <c r="K157" s="50" t="e">
        <f t="shared" si="16"/>
        <v>#VALUE!</v>
      </c>
      <c r="L157" s="82"/>
      <c r="M157" s="46" t="str">
        <f>IFERROR(VLOOKUP(L157,#REF!,2,0),"")</f>
        <v/>
      </c>
      <c r="N157" s="51"/>
      <c r="O157" s="51"/>
      <c r="P157" s="50" t="str">
        <f t="shared" si="17"/>
        <v/>
      </c>
      <c r="Q157" s="31"/>
      <c r="R157" s="47" t="str">
        <f>IFERROR(VLOOKUP(L157,#REF!,4,0),"")</f>
        <v/>
      </c>
      <c r="S157" s="53" t="str">
        <f t="shared" si="14"/>
        <v/>
      </c>
      <c r="T157" s="54" t="e">
        <f t="shared" si="15"/>
        <v>#VALUE!</v>
      </c>
      <c r="U157" s="22" t="e">
        <f>IF(E157*J157*M157=0,"",IF((Q157*M157*N157*O157)/E157&lt;IF(IFERROR(VLOOKUP(D157,NBR!$C:$D,2,0),J157)=IFERROR(VLOOKUP(D157,NBR!$C:$F,4,0),J157),J157*0.9,IFERROR(VLOOKUP(D157,NBR!$C:$D,2,0),J157*0.9)),"COLOCAR +"&amp;TEXT(ROUNDUP((E157*J157)/(M157*N157*O157),0)-Q157,"0")&amp;" luminaria(s)",IF((Q157*M157*N157*O157)/E157&gt;IF(IFERROR(VLOOKUP(D157,NBR!$C:$F,4,0),J157)=IFERROR(VLOOKUP(D157,NBR!$C:$D,2,0),J157),J157*1.2,IFERROR(VLOOKUP(D157,NBR!$C:$F,4,0),J157*1.2)),IF(Q157=1,"Reduzir potencia luminaria","RETIRAR -"&amp;TEXT(Q157-ROUNDUP((E157*IF(IFERROR(VLOOKUP(D157,NBR!$C:$F,4,0),J157)=J157,J157*1.2,IFERROR(VLOOKUP(D157,NBR!$C:$F,4,0),J157*1.2)))/(M157*N157*O157),0),"0")&amp;" luminaria(s)"),"OK")))</f>
        <v>#VALUE!</v>
      </c>
      <c r="V157" s="52" t="e">
        <f t="shared" si="12"/>
        <v>#VALUE!</v>
      </c>
      <c r="W157" s="60"/>
      <c r="X157" s="60"/>
      <c r="Y157" s="60"/>
      <c r="AA157" s="61"/>
      <c r="AB157" s="34"/>
      <c r="AC157" s="34"/>
      <c r="AD157" s="34"/>
    </row>
    <row r="158" spans="1:30" ht="18" customHeight="1" x14ac:dyDescent="0.25">
      <c r="A158" s="86"/>
      <c r="B158" s="86"/>
      <c r="C158" s="83"/>
      <c r="D158" s="17"/>
      <c r="E158" s="43" t="str">
        <f t="shared" si="18"/>
        <v/>
      </c>
      <c r="F158" s="43"/>
      <c r="G158" s="27"/>
      <c r="H158" s="27"/>
      <c r="I158" s="27"/>
      <c r="J158" s="44" t="str">
        <f>IFERROR(VLOOKUP(D158,NBR!$C:$E,3,0),"")</f>
        <v/>
      </c>
      <c r="K158" s="43" t="e">
        <f t="shared" si="16"/>
        <v>#VALUE!</v>
      </c>
      <c r="L158" s="45"/>
      <c r="M158" s="46" t="str">
        <f>IFERROR(VLOOKUP(L158,#REF!,2,0),"")</f>
        <v/>
      </c>
      <c r="N158" s="27"/>
      <c r="O158" s="27"/>
      <c r="P158" s="45" t="str">
        <f t="shared" si="17"/>
        <v/>
      </c>
      <c r="Q158" s="29"/>
      <c r="R158" s="47" t="str">
        <f>IFERROR(VLOOKUP(L158,#REF!,4,0),"")</f>
        <v/>
      </c>
      <c r="S158" s="48" t="str">
        <f t="shared" si="14"/>
        <v/>
      </c>
      <c r="T158" s="49" t="e">
        <f t="shared" si="15"/>
        <v>#VALUE!</v>
      </c>
      <c r="U158" s="17" t="e">
        <f>IF(E158*J158*M158=0,"",IF((Q158*M158*N158*O158)/E158&lt;IF(IFERROR(VLOOKUP(D158,NBR!$C:$D,2,0),J158)=IFERROR(VLOOKUP(D158,NBR!$C:$F,4,0),J158),J158*0.9,IFERROR(VLOOKUP(D158,NBR!$C:$D,2,0),J158*0.9)),"COLOCAR +"&amp;TEXT(ROUNDUP((E158*J158)/(M158*N158*O158),0)-Q158,"0")&amp;" luminaria(s)",IF((Q158*M158*N158*O158)/E158&gt;IF(IFERROR(VLOOKUP(D158,NBR!$C:$F,4,0),J158)=IFERROR(VLOOKUP(D158,NBR!$C:$D,2,0),J158),J158*1.2,IFERROR(VLOOKUP(D158,NBR!$C:$F,4,0),J158*1.2)),IF(Q158=1,"Reduzir potencia luminaria","RETIRAR -"&amp;TEXT(Q158-ROUNDUP((E158*IF(IFERROR(VLOOKUP(D158,NBR!$C:$F,4,0),J158)=J158,J158*1.2,IFERROR(VLOOKUP(D158,NBR!$C:$F,4,0),J158*1.2)))/(M158*N158*O158),0),"0")&amp;" luminaria(s)"),"OK")))</f>
        <v>#VALUE!</v>
      </c>
      <c r="V158" s="48" t="e">
        <f t="shared" si="12"/>
        <v>#VALUE!</v>
      </c>
      <c r="W158" s="57"/>
      <c r="X158" s="55"/>
      <c r="Y158" s="56"/>
      <c r="AA158" s="34"/>
      <c r="AB158" s="34"/>
      <c r="AC158" s="34"/>
      <c r="AD158" s="34"/>
    </row>
    <row r="159" spans="1:30" ht="18" customHeight="1" x14ac:dyDescent="0.25">
      <c r="A159" s="85"/>
      <c r="B159" s="85"/>
      <c r="C159" s="58"/>
      <c r="D159" s="59"/>
      <c r="E159" s="50" t="str">
        <f t="shared" si="18"/>
        <v/>
      </c>
      <c r="F159" s="50"/>
      <c r="G159" s="51"/>
      <c r="H159" s="51"/>
      <c r="I159" s="51"/>
      <c r="J159" s="44" t="str">
        <f>IFERROR(VLOOKUP(D159,NBR!$C:$E,3,0),"")</f>
        <v/>
      </c>
      <c r="K159" s="50" t="e">
        <f t="shared" si="16"/>
        <v>#VALUE!</v>
      </c>
      <c r="L159" s="82"/>
      <c r="M159" s="46" t="str">
        <f>IFERROR(VLOOKUP(L159,#REF!,2,0),"")</f>
        <v/>
      </c>
      <c r="N159" s="51"/>
      <c r="O159" s="51"/>
      <c r="P159" s="50" t="str">
        <f t="shared" si="17"/>
        <v/>
      </c>
      <c r="Q159" s="31"/>
      <c r="R159" s="47" t="str">
        <f>IFERROR(VLOOKUP(L159,#REF!,4,0),"")</f>
        <v/>
      </c>
      <c r="S159" s="53" t="str">
        <f t="shared" si="14"/>
        <v/>
      </c>
      <c r="T159" s="54" t="e">
        <f t="shared" si="15"/>
        <v>#VALUE!</v>
      </c>
      <c r="U159" s="22" t="e">
        <f>IF(E159*J159*M159=0,"",IF((Q159*M159*N159*O159)/E159&lt;IF(IFERROR(VLOOKUP(D159,NBR!$C:$D,2,0),J159)=IFERROR(VLOOKUP(D159,NBR!$C:$F,4,0),J159),J159*0.9,IFERROR(VLOOKUP(D159,NBR!$C:$D,2,0),J159*0.9)),"COLOCAR +"&amp;TEXT(ROUNDUP((E159*J159)/(M159*N159*O159),0)-Q159,"0")&amp;" luminaria(s)",IF((Q159*M159*N159*O159)/E159&gt;IF(IFERROR(VLOOKUP(D159,NBR!$C:$F,4,0),J159)=IFERROR(VLOOKUP(D159,NBR!$C:$D,2,0),J159),J159*1.2,IFERROR(VLOOKUP(D159,NBR!$C:$F,4,0),J159*1.2)),IF(Q159=1,"Reduzir potencia luminaria","RETIRAR -"&amp;TEXT(Q159-ROUNDUP((E159*IF(IFERROR(VLOOKUP(D159,NBR!$C:$F,4,0),J159)=J159,J159*1.2,IFERROR(VLOOKUP(D159,NBR!$C:$F,4,0),J159*1.2)))/(M159*N159*O159),0),"0")&amp;" luminaria(s)"),"OK")))</f>
        <v>#VALUE!</v>
      </c>
      <c r="V159" s="52" t="e">
        <f t="shared" si="12"/>
        <v>#VALUE!</v>
      </c>
      <c r="W159" s="60"/>
      <c r="X159" s="60"/>
      <c r="Y159" s="60"/>
      <c r="AA159" s="61"/>
      <c r="AB159" s="34"/>
      <c r="AC159" s="34"/>
      <c r="AD159" s="34"/>
    </row>
    <row r="160" spans="1:30" ht="18" customHeight="1" x14ac:dyDescent="0.25">
      <c r="A160" s="86"/>
      <c r="B160" s="86"/>
      <c r="C160" s="83"/>
      <c r="D160" s="17"/>
      <c r="E160" s="43" t="str">
        <f t="shared" si="18"/>
        <v/>
      </c>
      <c r="F160" s="43"/>
      <c r="G160" s="27"/>
      <c r="H160" s="27"/>
      <c r="I160" s="27"/>
      <c r="J160" s="44" t="str">
        <f>IFERROR(VLOOKUP(D160,NBR!$C:$E,3,0),"")</f>
        <v/>
      </c>
      <c r="K160" s="43" t="e">
        <f t="shared" si="16"/>
        <v>#VALUE!</v>
      </c>
      <c r="L160" s="45"/>
      <c r="M160" s="46" t="str">
        <f>IFERROR(VLOOKUP(L160,#REF!,2,0),"")</f>
        <v/>
      </c>
      <c r="N160" s="27"/>
      <c r="O160" s="27"/>
      <c r="P160" s="45" t="str">
        <f t="shared" si="17"/>
        <v/>
      </c>
      <c r="Q160" s="29"/>
      <c r="R160" s="47" t="str">
        <f>IFERROR(VLOOKUP(L160,#REF!,4,0),"")</f>
        <v/>
      </c>
      <c r="S160" s="48" t="str">
        <f t="shared" si="14"/>
        <v/>
      </c>
      <c r="T160" s="49" t="e">
        <f t="shared" si="15"/>
        <v>#VALUE!</v>
      </c>
      <c r="U160" s="17" t="e">
        <f>IF(E160*J160*M160=0,"",IF((Q160*M160*N160*O160)/E160&lt;IF(IFERROR(VLOOKUP(D160,NBR!$C:$D,2,0),J160)=IFERROR(VLOOKUP(D160,NBR!$C:$F,4,0),J160),J160*0.9,IFERROR(VLOOKUP(D160,NBR!$C:$D,2,0),J160*0.9)),"COLOCAR +"&amp;TEXT(ROUNDUP((E160*J160)/(M160*N160*O160),0)-Q160,"0")&amp;" luminaria(s)",IF((Q160*M160*N160*O160)/E160&gt;IF(IFERROR(VLOOKUP(D160,NBR!$C:$F,4,0),J160)=IFERROR(VLOOKUP(D160,NBR!$C:$D,2,0),J160),J160*1.2,IFERROR(VLOOKUP(D160,NBR!$C:$F,4,0),J160*1.2)),IF(Q160=1,"Reduzir potencia luminaria","RETIRAR -"&amp;TEXT(Q160-ROUNDUP((E160*IF(IFERROR(VLOOKUP(D160,NBR!$C:$F,4,0),J160)=J160,J160*1.2,IFERROR(VLOOKUP(D160,NBR!$C:$F,4,0),J160*1.2)))/(M160*N160*O160),0),"0")&amp;" luminaria(s)"),"OK")))</f>
        <v>#VALUE!</v>
      </c>
      <c r="V160" s="48" t="e">
        <f t="shared" si="12"/>
        <v>#VALUE!</v>
      </c>
      <c r="W160" s="57"/>
      <c r="X160" s="55"/>
      <c r="Y160" s="56"/>
      <c r="AA160" s="34"/>
      <c r="AB160" s="34"/>
      <c r="AC160" s="34"/>
      <c r="AD160" s="34"/>
    </row>
    <row r="161" spans="1:30" ht="18" customHeight="1" x14ac:dyDescent="0.25">
      <c r="A161" s="85"/>
      <c r="B161" s="85"/>
      <c r="C161" s="58"/>
      <c r="D161" s="59"/>
      <c r="E161" s="50" t="str">
        <f t="shared" si="18"/>
        <v/>
      </c>
      <c r="F161" s="50"/>
      <c r="G161" s="51"/>
      <c r="H161" s="51"/>
      <c r="I161" s="51"/>
      <c r="J161" s="44" t="str">
        <f>IFERROR(VLOOKUP(D161,NBR!$C:$E,3,0),"")</f>
        <v/>
      </c>
      <c r="K161" s="50" t="e">
        <f t="shared" si="16"/>
        <v>#VALUE!</v>
      </c>
      <c r="L161" s="82"/>
      <c r="M161" s="46" t="str">
        <f>IFERROR(VLOOKUP(L161,#REF!,2,0),"")</f>
        <v/>
      </c>
      <c r="N161" s="51"/>
      <c r="O161" s="51"/>
      <c r="P161" s="50" t="str">
        <f t="shared" si="17"/>
        <v/>
      </c>
      <c r="Q161" s="31"/>
      <c r="R161" s="47" t="str">
        <f>IFERROR(VLOOKUP(L161,#REF!,4,0),"")</f>
        <v/>
      </c>
      <c r="S161" s="53" t="str">
        <f t="shared" si="14"/>
        <v/>
      </c>
      <c r="T161" s="54" t="e">
        <f t="shared" si="15"/>
        <v>#VALUE!</v>
      </c>
      <c r="U161" s="22" t="e">
        <f>IF(E161*J161*M161=0,"",IF((Q161*M161*N161*O161)/E161&lt;IF(IFERROR(VLOOKUP(D161,NBR!$C:$D,2,0),J161)=IFERROR(VLOOKUP(D161,NBR!$C:$F,4,0),J161),J161*0.9,IFERROR(VLOOKUP(D161,NBR!$C:$D,2,0),J161*0.9)),"COLOCAR +"&amp;TEXT(ROUNDUP((E161*J161)/(M161*N161*O161),0)-Q161,"0")&amp;" luminaria(s)",IF((Q161*M161*N161*O161)/E161&gt;IF(IFERROR(VLOOKUP(D161,NBR!$C:$F,4,0),J161)=IFERROR(VLOOKUP(D161,NBR!$C:$D,2,0),J161),J161*1.2,IFERROR(VLOOKUP(D161,NBR!$C:$F,4,0),J161*1.2)),IF(Q161=1,"Reduzir potencia luminaria","RETIRAR -"&amp;TEXT(Q161-ROUNDUP((E161*IF(IFERROR(VLOOKUP(D161,NBR!$C:$F,4,0),J161)=J161,J161*1.2,IFERROR(VLOOKUP(D161,NBR!$C:$F,4,0),J161*1.2)))/(M161*N161*O161),0),"0")&amp;" luminaria(s)"),"OK")))</f>
        <v>#VALUE!</v>
      </c>
      <c r="V161" s="52" t="e">
        <f t="shared" si="12"/>
        <v>#VALUE!</v>
      </c>
      <c r="W161" s="60"/>
      <c r="X161" s="60"/>
      <c r="Y161" s="60"/>
      <c r="AA161" s="61"/>
      <c r="AB161" s="34"/>
      <c r="AC161" s="34"/>
      <c r="AD161" s="34"/>
    </row>
    <row r="162" spans="1:30" ht="18" customHeight="1" x14ac:dyDescent="0.25">
      <c r="A162" s="86"/>
      <c r="B162" s="86"/>
      <c r="C162" s="83"/>
      <c r="D162" s="17"/>
      <c r="E162" s="43" t="str">
        <f t="shared" si="18"/>
        <v/>
      </c>
      <c r="F162" s="43"/>
      <c r="G162" s="27"/>
      <c r="H162" s="27"/>
      <c r="I162" s="27"/>
      <c r="J162" s="44" t="str">
        <f>IFERROR(VLOOKUP(D162,NBR!$C:$E,3,0),"")</f>
        <v/>
      </c>
      <c r="K162" s="43" t="e">
        <f t="shared" si="16"/>
        <v>#VALUE!</v>
      </c>
      <c r="L162" s="45"/>
      <c r="M162" s="46" t="str">
        <f>IFERROR(VLOOKUP(L162,#REF!,2,0),"")</f>
        <v/>
      </c>
      <c r="N162" s="27"/>
      <c r="O162" s="27"/>
      <c r="P162" s="45" t="str">
        <f t="shared" si="17"/>
        <v/>
      </c>
      <c r="Q162" s="29"/>
      <c r="R162" s="47" t="str">
        <f>IFERROR(VLOOKUP(L162,#REF!,4,0),"")</f>
        <v/>
      </c>
      <c r="S162" s="48" t="str">
        <f t="shared" si="14"/>
        <v/>
      </c>
      <c r="T162" s="49" t="e">
        <f t="shared" si="15"/>
        <v>#VALUE!</v>
      </c>
      <c r="U162" s="17" t="e">
        <f>IF(E162*J162*M162=0,"",IF((Q162*M162*N162*O162)/E162&lt;IF(IFERROR(VLOOKUP(D162,NBR!$C:$D,2,0),J162)=IFERROR(VLOOKUP(D162,NBR!$C:$F,4,0),J162),J162*0.9,IFERROR(VLOOKUP(D162,NBR!$C:$D,2,0),J162*0.9)),"COLOCAR +"&amp;TEXT(ROUNDUP((E162*J162)/(M162*N162*O162),0)-Q162,"0")&amp;" luminaria(s)",IF((Q162*M162*N162*O162)/E162&gt;IF(IFERROR(VLOOKUP(D162,NBR!$C:$F,4,0),J162)=IFERROR(VLOOKUP(D162,NBR!$C:$D,2,0),J162),J162*1.2,IFERROR(VLOOKUP(D162,NBR!$C:$F,4,0),J162*1.2)),IF(Q162=1,"Reduzir potencia luminaria","RETIRAR -"&amp;TEXT(Q162-ROUNDUP((E162*IF(IFERROR(VLOOKUP(D162,NBR!$C:$F,4,0),J162)=J162,J162*1.2,IFERROR(VLOOKUP(D162,NBR!$C:$F,4,0),J162*1.2)))/(M162*N162*O162),0),"0")&amp;" luminaria(s)"),"OK")))</f>
        <v>#VALUE!</v>
      </c>
      <c r="V162" s="48" t="e">
        <f t="shared" si="12"/>
        <v>#VALUE!</v>
      </c>
      <c r="W162" s="57"/>
      <c r="X162" s="55"/>
      <c r="Y162" s="56"/>
      <c r="AA162" s="34"/>
      <c r="AB162" s="34"/>
      <c r="AC162" s="34"/>
      <c r="AD162" s="34"/>
    </row>
    <row r="163" spans="1:30" ht="18" customHeight="1" x14ac:dyDescent="0.25">
      <c r="A163" s="85"/>
      <c r="B163" s="85"/>
      <c r="C163" s="58"/>
      <c r="D163" s="59"/>
      <c r="E163" s="50" t="str">
        <f t="shared" si="18"/>
        <v/>
      </c>
      <c r="F163" s="50"/>
      <c r="G163" s="51"/>
      <c r="H163" s="51"/>
      <c r="I163" s="51"/>
      <c r="J163" s="44" t="str">
        <f>IFERROR(VLOOKUP(D163,NBR!$C:$E,3,0),"")</f>
        <v/>
      </c>
      <c r="K163" s="50" t="e">
        <f t="shared" si="16"/>
        <v>#VALUE!</v>
      </c>
      <c r="L163" s="82"/>
      <c r="M163" s="46" t="str">
        <f>IFERROR(VLOOKUP(L163,#REF!,2,0),"")</f>
        <v/>
      </c>
      <c r="N163" s="51"/>
      <c r="O163" s="51"/>
      <c r="P163" s="50" t="str">
        <f t="shared" si="17"/>
        <v/>
      </c>
      <c r="Q163" s="31"/>
      <c r="R163" s="47" t="str">
        <f>IFERROR(VLOOKUP(L163,#REF!,4,0),"")</f>
        <v/>
      </c>
      <c r="S163" s="53" t="str">
        <f t="shared" si="14"/>
        <v/>
      </c>
      <c r="T163" s="54" t="e">
        <f t="shared" si="15"/>
        <v>#VALUE!</v>
      </c>
      <c r="U163" s="22" t="e">
        <f>IF(E163*J163*M163=0,"",IF((Q163*M163*N163*O163)/E163&lt;IF(IFERROR(VLOOKUP(D163,NBR!$C:$D,2,0),J163)=IFERROR(VLOOKUP(D163,NBR!$C:$F,4,0),J163),J163*0.9,IFERROR(VLOOKUP(D163,NBR!$C:$D,2,0),J163*0.9)),"COLOCAR +"&amp;TEXT(ROUNDUP((E163*J163)/(M163*N163*O163),0)-Q163,"0")&amp;" luminaria(s)",IF((Q163*M163*N163*O163)/E163&gt;IF(IFERROR(VLOOKUP(D163,NBR!$C:$F,4,0),J163)=IFERROR(VLOOKUP(D163,NBR!$C:$D,2,0),J163),J163*1.2,IFERROR(VLOOKUP(D163,NBR!$C:$F,4,0),J163*1.2)),IF(Q163=1,"Reduzir potencia luminaria","RETIRAR -"&amp;TEXT(Q163-ROUNDUP((E163*IF(IFERROR(VLOOKUP(D163,NBR!$C:$F,4,0),J163)=J163,J163*1.2,IFERROR(VLOOKUP(D163,NBR!$C:$F,4,0),J163*1.2)))/(M163*N163*O163),0),"0")&amp;" luminaria(s)"),"OK")))</f>
        <v>#VALUE!</v>
      </c>
      <c r="V163" s="52" t="e">
        <f t="shared" si="12"/>
        <v>#VALUE!</v>
      </c>
      <c r="W163" s="60"/>
      <c r="X163" s="60"/>
      <c r="Y163" s="60"/>
      <c r="AA163" s="61"/>
      <c r="AB163" s="34"/>
      <c r="AC163" s="34"/>
      <c r="AD163" s="34"/>
    </row>
    <row r="164" spans="1:30" ht="18" customHeight="1" x14ac:dyDescent="0.25">
      <c r="A164" s="86"/>
      <c r="B164" s="86"/>
      <c r="C164" s="83"/>
      <c r="D164" s="17"/>
      <c r="E164" s="43" t="str">
        <f t="shared" si="18"/>
        <v/>
      </c>
      <c r="F164" s="43"/>
      <c r="G164" s="27"/>
      <c r="H164" s="27"/>
      <c r="I164" s="27"/>
      <c r="J164" s="44" t="str">
        <f>IFERROR(VLOOKUP(D164,NBR!$C:$E,3,0),"")</f>
        <v/>
      </c>
      <c r="K164" s="43" t="e">
        <f t="shared" si="16"/>
        <v>#VALUE!</v>
      </c>
      <c r="L164" s="45"/>
      <c r="M164" s="46" t="str">
        <f>IFERROR(VLOOKUP(L164,#REF!,2,0),"")</f>
        <v/>
      </c>
      <c r="N164" s="27"/>
      <c r="O164" s="27"/>
      <c r="P164" s="45" t="str">
        <f t="shared" si="17"/>
        <v/>
      </c>
      <c r="Q164" s="29"/>
      <c r="R164" s="47" t="str">
        <f>IFERROR(VLOOKUP(L164,#REF!,4,0),"")</f>
        <v/>
      </c>
      <c r="S164" s="48" t="str">
        <f t="shared" si="14"/>
        <v/>
      </c>
      <c r="T164" s="49" t="e">
        <f t="shared" si="15"/>
        <v>#VALUE!</v>
      </c>
      <c r="U164" s="17" t="e">
        <f>IF(E164*J164*M164=0,"",IF((Q164*M164*N164*O164)/E164&lt;IF(IFERROR(VLOOKUP(D164,NBR!$C:$D,2,0),J164)=IFERROR(VLOOKUP(D164,NBR!$C:$F,4,0),J164),J164*0.9,IFERROR(VLOOKUP(D164,NBR!$C:$D,2,0),J164*0.9)),"COLOCAR +"&amp;TEXT(ROUNDUP((E164*J164)/(M164*N164*O164),0)-Q164,"0")&amp;" luminaria(s)",IF((Q164*M164*N164*O164)/E164&gt;IF(IFERROR(VLOOKUP(D164,NBR!$C:$F,4,0),J164)=IFERROR(VLOOKUP(D164,NBR!$C:$D,2,0),J164),J164*1.2,IFERROR(VLOOKUP(D164,NBR!$C:$F,4,0),J164*1.2)),IF(Q164=1,"Reduzir potencia luminaria","RETIRAR -"&amp;TEXT(Q164-ROUNDUP((E164*IF(IFERROR(VLOOKUP(D164,NBR!$C:$F,4,0),J164)=J164,J164*1.2,IFERROR(VLOOKUP(D164,NBR!$C:$F,4,0),J164*1.2)))/(M164*N164*O164),0),"0")&amp;" luminaria(s)"),"OK")))</f>
        <v>#VALUE!</v>
      </c>
      <c r="V164" s="48" t="e">
        <f t="shared" si="12"/>
        <v>#VALUE!</v>
      </c>
      <c r="W164" s="57"/>
      <c r="X164" s="55"/>
      <c r="Y164" s="56"/>
      <c r="AA164" s="34"/>
      <c r="AB164" s="34"/>
      <c r="AC164" s="34"/>
      <c r="AD164" s="34"/>
    </row>
    <row r="165" spans="1:30" ht="18" customHeight="1" x14ac:dyDescent="0.25">
      <c r="A165" s="85"/>
      <c r="B165" s="85"/>
      <c r="C165" s="58"/>
      <c r="D165" s="59"/>
      <c r="E165" s="50" t="str">
        <f t="shared" si="18"/>
        <v/>
      </c>
      <c r="F165" s="50"/>
      <c r="G165" s="51"/>
      <c r="H165" s="51"/>
      <c r="I165" s="51"/>
      <c r="J165" s="44" t="str">
        <f>IFERROR(VLOOKUP(D165,NBR!$C:$E,3,0),"")</f>
        <v/>
      </c>
      <c r="K165" s="50" t="e">
        <f t="shared" si="16"/>
        <v>#VALUE!</v>
      </c>
      <c r="L165" s="82"/>
      <c r="M165" s="46" t="str">
        <f>IFERROR(VLOOKUP(L165,#REF!,2,0),"")</f>
        <v/>
      </c>
      <c r="N165" s="51"/>
      <c r="O165" s="51"/>
      <c r="P165" s="50" t="str">
        <f t="shared" si="17"/>
        <v/>
      </c>
      <c r="Q165" s="31"/>
      <c r="R165" s="47" t="str">
        <f>IFERROR(VLOOKUP(L165,#REF!,4,0),"")</f>
        <v/>
      </c>
      <c r="S165" s="53" t="str">
        <f t="shared" si="14"/>
        <v/>
      </c>
      <c r="T165" s="54" t="e">
        <f t="shared" si="15"/>
        <v>#VALUE!</v>
      </c>
      <c r="U165" s="22" t="e">
        <f>IF(E165*J165*M165=0,"",IF((Q165*M165*N165*O165)/E165&lt;IF(IFERROR(VLOOKUP(D165,NBR!$C:$D,2,0),J165)=IFERROR(VLOOKUP(D165,NBR!$C:$F,4,0),J165),J165*0.9,IFERROR(VLOOKUP(D165,NBR!$C:$D,2,0),J165*0.9)),"COLOCAR +"&amp;TEXT(ROUNDUP((E165*J165)/(M165*N165*O165),0)-Q165,"0")&amp;" luminaria(s)",IF((Q165*M165*N165*O165)/E165&gt;IF(IFERROR(VLOOKUP(D165,NBR!$C:$F,4,0),J165)=IFERROR(VLOOKUP(D165,NBR!$C:$D,2,0),J165),J165*1.2,IFERROR(VLOOKUP(D165,NBR!$C:$F,4,0),J165*1.2)),IF(Q165=1,"Reduzir potencia luminaria","RETIRAR -"&amp;TEXT(Q165-ROUNDUP((E165*IF(IFERROR(VLOOKUP(D165,NBR!$C:$F,4,0),J165)=J165,J165*1.2,IFERROR(VLOOKUP(D165,NBR!$C:$F,4,0),J165*1.2)))/(M165*N165*O165),0),"0")&amp;" luminaria(s)"),"OK")))</f>
        <v>#VALUE!</v>
      </c>
      <c r="V165" s="52" t="e">
        <f t="shared" si="12"/>
        <v>#VALUE!</v>
      </c>
      <c r="W165" s="60"/>
      <c r="X165" s="60"/>
      <c r="Y165" s="60"/>
      <c r="AA165" s="61"/>
      <c r="AB165" s="34"/>
      <c r="AC165" s="34"/>
      <c r="AD165" s="34"/>
    </row>
    <row r="166" spans="1:30" ht="18" customHeight="1" x14ac:dyDescent="0.25">
      <c r="A166" s="86"/>
      <c r="B166" s="86"/>
      <c r="C166" s="83"/>
      <c r="D166" s="17"/>
      <c r="E166" s="43" t="str">
        <f t="shared" si="18"/>
        <v/>
      </c>
      <c r="F166" s="43"/>
      <c r="G166" s="27"/>
      <c r="H166" s="27"/>
      <c r="I166" s="27"/>
      <c r="J166" s="44" t="str">
        <f>IFERROR(VLOOKUP(D166,NBR!$C:$E,3,0),"")</f>
        <v/>
      </c>
      <c r="K166" s="43" t="e">
        <f t="shared" si="16"/>
        <v>#VALUE!</v>
      </c>
      <c r="L166" s="45"/>
      <c r="M166" s="46" t="str">
        <f>IFERROR(VLOOKUP(L166,#REF!,2,0),"")</f>
        <v/>
      </c>
      <c r="N166" s="27"/>
      <c r="O166" s="27"/>
      <c r="P166" s="45" t="str">
        <f t="shared" si="17"/>
        <v/>
      </c>
      <c r="Q166" s="29"/>
      <c r="R166" s="47" t="str">
        <f>IFERROR(VLOOKUP(L166,#REF!,4,0),"")</f>
        <v/>
      </c>
      <c r="S166" s="48" t="str">
        <f t="shared" si="14"/>
        <v/>
      </c>
      <c r="T166" s="49" t="e">
        <f t="shared" si="15"/>
        <v>#VALUE!</v>
      </c>
      <c r="U166" s="17" t="e">
        <f>IF(E166*J166*M166=0,"",IF((Q166*M166*N166*O166)/E166&lt;IF(IFERROR(VLOOKUP(D166,NBR!$C:$D,2,0),J166)=IFERROR(VLOOKUP(D166,NBR!$C:$F,4,0),J166),J166*0.9,IFERROR(VLOOKUP(D166,NBR!$C:$D,2,0),J166*0.9)),"COLOCAR +"&amp;TEXT(ROUNDUP((E166*J166)/(M166*N166*O166),0)-Q166,"0")&amp;" luminaria(s)",IF((Q166*M166*N166*O166)/E166&gt;IF(IFERROR(VLOOKUP(D166,NBR!$C:$F,4,0),J166)=IFERROR(VLOOKUP(D166,NBR!$C:$D,2,0),J166),J166*1.2,IFERROR(VLOOKUP(D166,NBR!$C:$F,4,0),J166*1.2)),IF(Q166=1,"Reduzir potencia luminaria","RETIRAR -"&amp;TEXT(Q166-ROUNDUP((E166*IF(IFERROR(VLOOKUP(D166,NBR!$C:$F,4,0),J166)=J166,J166*1.2,IFERROR(VLOOKUP(D166,NBR!$C:$F,4,0),J166*1.2)))/(M166*N166*O166),0),"0")&amp;" luminaria(s)"),"OK")))</f>
        <v>#VALUE!</v>
      </c>
      <c r="V166" s="48" t="e">
        <f t="shared" si="12"/>
        <v>#VALUE!</v>
      </c>
      <c r="W166" s="57"/>
      <c r="X166" s="55"/>
      <c r="Y166" s="56"/>
      <c r="AA166" s="34"/>
      <c r="AB166" s="34"/>
      <c r="AC166" s="34"/>
      <c r="AD166" s="34"/>
    </row>
    <row r="167" spans="1:30" ht="18" customHeight="1" x14ac:dyDescent="0.25">
      <c r="A167" s="85"/>
      <c r="B167" s="85"/>
      <c r="C167" s="58"/>
      <c r="D167" s="59"/>
      <c r="E167" s="50" t="str">
        <f t="shared" si="18"/>
        <v/>
      </c>
      <c r="F167" s="50"/>
      <c r="G167" s="51"/>
      <c r="H167" s="51"/>
      <c r="I167" s="51"/>
      <c r="J167" s="44" t="str">
        <f>IFERROR(VLOOKUP(D167,NBR!$C:$E,3,0),"")</f>
        <v/>
      </c>
      <c r="K167" s="50" t="e">
        <f t="shared" si="16"/>
        <v>#VALUE!</v>
      </c>
      <c r="L167" s="82"/>
      <c r="M167" s="46" t="str">
        <f>IFERROR(VLOOKUP(L167,#REF!,2,0),"")</f>
        <v/>
      </c>
      <c r="N167" s="51"/>
      <c r="O167" s="51"/>
      <c r="P167" s="50" t="str">
        <f t="shared" si="17"/>
        <v/>
      </c>
      <c r="Q167" s="31"/>
      <c r="R167" s="47" t="str">
        <f>IFERROR(VLOOKUP(L167,#REF!,4,0),"")</f>
        <v/>
      </c>
      <c r="S167" s="53" t="str">
        <f t="shared" si="14"/>
        <v/>
      </c>
      <c r="T167" s="54" t="e">
        <f t="shared" si="15"/>
        <v>#VALUE!</v>
      </c>
      <c r="U167" s="22" t="e">
        <f>IF(E167*J167*M167=0,"",IF((Q167*M167*N167*O167)/E167&lt;IF(IFERROR(VLOOKUP(D167,NBR!$C:$D,2,0),J167)=IFERROR(VLOOKUP(D167,NBR!$C:$F,4,0),J167),J167*0.9,IFERROR(VLOOKUP(D167,NBR!$C:$D,2,0),J167*0.9)),"COLOCAR +"&amp;TEXT(ROUNDUP((E167*J167)/(M167*N167*O167),0)-Q167,"0")&amp;" luminaria(s)",IF((Q167*M167*N167*O167)/E167&gt;IF(IFERROR(VLOOKUP(D167,NBR!$C:$F,4,0),J167)=IFERROR(VLOOKUP(D167,NBR!$C:$D,2,0),J167),J167*1.2,IFERROR(VLOOKUP(D167,NBR!$C:$F,4,0),J167*1.2)),IF(Q167=1,"Reduzir potencia luminaria","RETIRAR -"&amp;TEXT(Q167-ROUNDUP((E167*IF(IFERROR(VLOOKUP(D167,NBR!$C:$F,4,0),J167)=J167,J167*1.2,IFERROR(VLOOKUP(D167,NBR!$C:$F,4,0),J167*1.2)))/(M167*N167*O167),0),"0")&amp;" luminaria(s)"),"OK")))</f>
        <v>#VALUE!</v>
      </c>
      <c r="V167" s="52" t="e">
        <f t="shared" si="12"/>
        <v>#VALUE!</v>
      </c>
      <c r="W167" s="60"/>
      <c r="X167" s="60"/>
      <c r="Y167" s="60"/>
      <c r="AA167" s="61"/>
      <c r="AB167" s="34"/>
      <c r="AC167" s="34"/>
      <c r="AD167" s="34"/>
    </row>
    <row r="168" spans="1:30" ht="18" customHeight="1" x14ac:dyDescent="0.25">
      <c r="A168" s="86"/>
      <c r="B168" s="86"/>
      <c r="C168" s="83"/>
      <c r="D168" s="17"/>
      <c r="E168" s="43" t="str">
        <f t="shared" si="18"/>
        <v/>
      </c>
      <c r="F168" s="43"/>
      <c r="G168" s="27"/>
      <c r="H168" s="27"/>
      <c r="I168" s="27"/>
      <c r="J168" s="44" t="str">
        <f>IFERROR(VLOOKUP(D168,NBR!$C:$E,3,0),"")</f>
        <v/>
      </c>
      <c r="K168" s="43" t="e">
        <f t="shared" si="16"/>
        <v>#VALUE!</v>
      </c>
      <c r="L168" s="45"/>
      <c r="M168" s="46" t="str">
        <f>IFERROR(VLOOKUP(L168,#REF!,2,0),"")</f>
        <v/>
      </c>
      <c r="N168" s="27"/>
      <c r="O168" s="27"/>
      <c r="P168" s="45" t="str">
        <f t="shared" si="17"/>
        <v/>
      </c>
      <c r="Q168" s="29"/>
      <c r="R168" s="47" t="str">
        <f>IFERROR(VLOOKUP(L168,#REF!,4,0),"")</f>
        <v/>
      </c>
      <c r="S168" s="48" t="str">
        <f t="shared" si="14"/>
        <v/>
      </c>
      <c r="T168" s="49" t="e">
        <f t="shared" si="15"/>
        <v>#VALUE!</v>
      </c>
      <c r="U168" s="17" t="e">
        <f>IF(E168*J168*M168=0,"",IF((Q168*M168*N168*O168)/E168&lt;IF(IFERROR(VLOOKUP(D168,NBR!$C:$D,2,0),J168)=IFERROR(VLOOKUP(D168,NBR!$C:$F,4,0),J168),J168*0.9,IFERROR(VLOOKUP(D168,NBR!$C:$D,2,0),J168*0.9)),"COLOCAR +"&amp;TEXT(ROUNDUP((E168*J168)/(M168*N168*O168),0)-Q168,"0")&amp;" luminaria(s)",IF((Q168*M168*N168*O168)/E168&gt;IF(IFERROR(VLOOKUP(D168,NBR!$C:$F,4,0),J168)=IFERROR(VLOOKUP(D168,NBR!$C:$D,2,0),J168),J168*1.2,IFERROR(VLOOKUP(D168,NBR!$C:$F,4,0),J168*1.2)),IF(Q168=1,"Reduzir potencia luminaria","RETIRAR -"&amp;TEXT(Q168-ROUNDUP((E168*IF(IFERROR(VLOOKUP(D168,NBR!$C:$F,4,0),J168)=J168,J168*1.2,IFERROR(VLOOKUP(D168,NBR!$C:$F,4,0),J168*1.2)))/(M168*N168*O168),0),"0")&amp;" luminaria(s)"),"OK")))</f>
        <v>#VALUE!</v>
      </c>
      <c r="V168" s="48" t="e">
        <f t="shared" si="12"/>
        <v>#VALUE!</v>
      </c>
      <c r="W168" s="57"/>
      <c r="X168" s="55"/>
      <c r="Y168" s="56"/>
      <c r="AA168" s="34"/>
      <c r="AB168" s="34"/>
      <c r="AC168" s="34"/>
      <c r="AD168" s="34"/>
    </row>
    <row r="169" spans="1:30" ht="18" customHeight="1" x14ac:dyDescent="0.25">
      <c r="A169" s="85"/>
      <c r="B169" s="85"/>
      <c r="C169" s="58"/>
      <c r="D169" s="59"/>
      <c r="E169" s="50"/>
      <c r="F169" s="50"/>
      <c r="G169" s="51"/>
      <c r="H169" s="51"/>
      <c r="I169" s="51"/>
      <c r="J169" s="44"/>
      <c r="K169" s="50" t="str">
        <f t="shared" si="16"/>
        <v/>
      </c>
      <c r="L169" s="82"/>
      <c r="M169" s="46"/>
      <c r="N169" s="51"/>
      <c r="O169" s="51"/>
      <c r="P169" s="50" t="str">
        <f t="shared" si="17"/>
        <v/>
      </c>
      <c r="Q169" s="31"/>
      <c r="R169" s="47"/>
      <c r="S169" s="53" t="str">
        <f t="shared" si="14"/>
        <v/>
      </c>
      <c r="T169" s="54" t="str">
        <f t="shared" si="15"/>
        <v>—</v>
      </c>
      <c r="U169" s="22" t="str">
        <f>IF(E169*J169*M169=0,"",IF((Q169*M169*N169*O169)/E169&lt;IF(IFERROR(VLOOKUP(D169,NBR!$C:$D,2,0),J169)=IFERROR(VLOOKUP(D169,NBR!$C:$F,4,0),J169),J169*0.9,IFERROR(VLOOKUP(D169,NBR!$C:$D,2,0),J169*0.9)),"COLOCAR +"&amp;TEXT(ROUNDUP((E169*J169)/(M169*N169*O169),0)-Q169,"0")&amp;" luminaria(s)",IF((Q169*M169*N169*O169)/E169&gt;IF(IFERROR(VLOOKUP(D169,NBR!$C:$F,4,0),J169)=IFERROR(VLOOKUP(D169,NBR!$C:$D,2,0),J169),J169*1.2,IFERROR(VLOOKUP(D169,NBR!$C:$F,4,0),J169*1.2)),IF(Q169=1,"Reduzir potencia luminaria","RETIRAR -"&amp;TEXT(Q169-ROUNDUP((E169*IF(IFERROR(VLOOKUP(D169,NBR!$C:$F,4,0),J169)=J169,J169*1.2,IFERROR(VLOOKUP(D169,NBR!$C:$F,4,0),J169*1.2)))/(M169*N169*O169),0),"0")&amp;" luminaria(s)"),"OK")))</f>
        <v/>
      </c>
      <c r="V169" s="52"/>
      <c r="W169" s="60"/>
      <c r="X169" s="60"/>
      <c r="Y169" s="60"/>
      <c r="AA169" s="61"/>
      <c r="AB169" s="34"/>
      <c r="AC169" s="34"/>
      <c r="AD169" s="34"/>
    </row>
    <row r="170" spans="1:30" x14ac:dyDescent="0.25">
      <c r="T170" s="54" t="str">
        <f>IF(E170*J170=0,"—",IF((Q170*M170*N170*O170)/E170&lt;J170*0.9,"INSUFICIENTE -"&amp;TEXT(ABS(((Q170*M170*N170*O170)/E170-J170)/J170)*100,"0")&amp;"%",IF((Q170*M170*N170*O170)/E170&gt;J170*1.3,"ACIMA +"&amp;TEXT((((Q170*M170*N170*O170)/E170-J170)/J170)*100,"0")&amp;"%","OK "&amp;IF((Q170*M170*N170*O170)/E170&gt;=J170,"+","")&amp;TEXT((((Q170*M170*N170*O170)/E170-J170)/J170)*100,"0")&amp;"%")))</f>
        <v>—</v>
      </c>
      <c r="U170" s="34"/>
      <c r="V170" s="34"/>
      <c r="W170" s="34"/>
      <c r="X170" s="34"/>
      <c r="Y170" s="34"/>
      <c r="AA170" s="34"/>
      <c r="AB170" s="34"/>
      <c r="AC170" s="34"/>
      <c r="AD170" s="34"/>
    </row>
    <row r="171" spans="1:30" x14ac:dyDescent="0.25">
      <c r="T171" s="54" t="str">
        <f>IF(E171*J171=0,"—",IF((Q171*M171*N171*O171)/E171&lt;J171*0.9,"INSUFICIENTE -"&amp;TEXT(ABS(((Q171*M171*N171*O171)/E171-J171)/J171)*100,"0")&amp;"%",IF((Q171*M171*N171*O171)/E171&gt;J171*1.3,"ACIMA +"&amp;TEXT((((Q171*M171*N171*O171)/E171-J171)/J171)*100,"0")&amp;"%","OK "&amp;IF((Q171*M171*N171*O171)/E171&gt;=J171,"+","")&amp;TEXT((((Q171*M171*N171*O171)/E171-J171)/J171)*100,"0")&amp;"%")))</f>
        <v>—</v>
      </c>
      <c r="U171" s="34"/>
      <c r="V171" s="34"/>
      <c r="W171" s="34"/>
      <c r="X171" s="34"/>
      <c r="Y171" s="34"/>
      <c r="AA171" s="34"/>
      <c r="AB171" s="34"/>
      <c r="AC171" s="34"/>
      <c r="AD171" s="34"/>
    </row>
    <row r="172" spans="1:30" x14ac:dyDescent="0.25">
      <c r="T172" s="34"/>
      <c r="U172" s="34"/>
      <c r="V172" s="34"/>
      <c r="W172" s="34"/>
      <c r="X172" s="34"/>
      <c r="Y172" s="34"/>
      <c r="AA172" s="34"/>
      <c r="AB172" s="34"/>
      <c r="AC172" s="34"/>
      <c r="AD172" s="34"/>
    </row>
    <row r="173" spans="1:30" x14ac:dyDescent="0.25">
      <c r="T173" s="34"/>
      <c r="U173" s="34"/>
      <c r="V173" s="34"/>
      <c r="W173" s="34"/>
      <c r="X173" s="34"/>
      <c r="Y173" s="34"/>
      <c r="AA173" s="34"/>
      <c r="AB173" s="34"/>
      <c r="AC173" s="34"/>
      <c r="AD173" s="34"/>
    </row>
    <row r="174" spans="1:30" x14ac:dyDescent="0.25">
      <c r="T174" s="34"/>
      <c r="U174" s="34"/>
      <c r="V174" s="34"/>
      <c r="W174" s="34"/>
      <c r="X174" s="34"/>
      <c r="Y174" s="34"/>
      <c r="AA174" s="34"/>
      <c r="AB174" s="34"/>
      <c r="AC174" s="34"/>
      <c r="AD174" s="34"/>
    </row>
    <row r="175" spans="1:30" x14ac:dyDescent="0.25">
      <c r="T175" s="34"/>
      <c r="U175" s="34"/>
      <c r="V175" s="34"/>
      <c r="W175" s="34"/>
      <c r="X175" s="34"/>
      <c r="Y175" s="34"/>
      <c r="AA175" s="34"/>
      <c r="AB175" s="34"/>
      <c r="AC175" s="34"/>
      <c r="AD175" s="34"/>
    </row>
    <row r="176" spans="1:30" x14ac:dyDescent="0.25">
      <c r="T176" s="34"/>
      <c r="U176" s="34"/>
      <c r="V176" s="34"/>
      <c r="W176" s="34"/>
      <c r="X176" s="34"/>
      <c r="Y176" s="34"/>
      <c r="AA176" s="34"/>
      <c r="AB176" s="34"/>
      <c r="AC176" s="34"/>
      <c r="AD176" s="34"/>
    </row>
    <row r="177" spans="20:30" x14ac:dyDescent="0.25">
      <c r="T177" s="34"/>
      <c r="U177" s="34"/>
      <c r="V177" s="34"/>
      <c r="W177" s="34"/>
      <c r="X177" s="34"/>
      <c r="Y177" s="34"/>
      <c r="AA177" s="34"/>
      <c r="AB177" s="34"/>
      <c r="AC177" s="34"/>
      <c r="AD177" s="34"/>
    </row>
  </sheetData>
  <autoFilter ref="C3:Y169" xr:uid="{00000000-0001-0000-0000-000000000000}"/>
  <mergeCells count="1">
    <mergeCell ref="C1:V1"/>
  </mergeCells>
  <conditionalFormatting sqref="T4:T171">
    <cfRule type="expression" dxfId="5" priority="1">
      <formula>NOT(ISERROR(SEARCH("ACIMA",T4)))</formula>
    </cfRule>
    <cfRule type="expression" dxfId="4" priority="2">
      <formula>NOT(ISERROR(SEARCH("INSUF",T4)))</formula>
    </cfRule>
  </conditionalFormatting>
  <conditionalFormatting sqref="T170:T171 T4:U169">
    <cfRule type="expression" dxfId="3" priority="3">
      <formula>NOT(ISERROR(SEARCH("OK",T4)))</formula>
    </cfRule>
  </conditionalFormatting>
  <conditionalFormatting sqref="U4:U169">
    <cfRule type="expression" dxfId="2" priority="4">
      <formula>NOT(ISERROR(SEARCH("COLOCAR",U4)))</formula>
    </cfRule>
    <cfRule type="expression" dxfId="1" priority="5">
      <formula>NOT(ISERROR(SEARCH("RETIRAR",U4)))</formula>
    </cfRule>
    <cfRule type="expression" dxfId="0" priority="6">
      <formula>NOT(ISERROR(SEARCH("Reduzir",U4)))</formula>
    </cfRule>
  </conditionalFormatting>
  <dataValidations count="1">
    <dataValidation type="list" allowBlank="1" promptTitle="Fator de Manutencao" prompt="Limpo=0.9 | Medio=0.8 | Sujo=0.6" sqref="O4 N5:O169" xr:uid="{A7BD772E-D9EA-41F0-B54E-3B92161E80F8}">
      <mc:AlternateContent xmlns:x12ac="http://schemas.microsoft.com/office/spreadsheetml/2011/1/ac" xmlns:mc="http://schemas.openxmlformats.org/markup-compatibility/2006">
        <mc:Choice Requires="x12ac">
          <x12ac:list>"0,9","0,8","0,6"</x12ac:list>
        </mc:Choice>
        <mc:Fallback>
          <formula1>"0,9,0,8,0,6"</formula1>
        </mc:Fallback>
      </mc:AlternateContent>
    </dataValidation>
  </dataValidations>
  <pageMargins left="0.78749999999999998" right="0.78749999999999998" top="0.98402777777777795" bottom="0.98402777777777795" header="0.511811023622047" footer="0.511811023622047"/>
  <pageSetup paperSize="9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promptTitle="Luminaria" prompt="Selecione a luminaria do projeto" xr:uid="{4D657590-1D74-408B-A898-25B233055810}">
          <x14:formula1>
            <xm:f>LAMPADAS!$A$3:$A$36</xm:f>
          </x14:formula1>
          <xm:sqref>L25</xm:sqref>
        </x14:dataValidation>
        <x14:dataValidation type="list" allowBlank="1" promptTitle="Luminaria" prompt="Selecione a luminaria do projeto" xr:uid="{DE0FC77C-E642-456F-AA5B-10CFD304CCC0}">
          <x14:formula1>
            <xm:f>LAMPADAS!$A$3:$A$37</xm:f>
          </x14:formula1>
          <xm:sqref>L5:L22</xm:sqref>
        </x14:dataValidation>
        <x14:dataValidation type="list" allowBlank="1" promptTitle="Atividade NBR" prompt="Selecione conforme NBR 8995-1 ou 5413" xr:uid="{EB6C9DC9-AD09-42DC-B9D6-463571F0D9F4}">
          <x14:formula1>
            <xm:f>_LISTAS!$A$1:$A$110</xm:f>
          </x14:formula1>
          <xm:sqref>D4:D168</xm:sqref>
        </x14:dataValidation>
        <x14:dataValidation type="list" allowBlank="1" promptTitle="Luminaria" prompt="Selecione a luminaria do projeto" xr:uid="{B0AD6AEE-B280-43C6-B9D4-A481F456B6F0}">
          <x14:formula1>
            <xm:f>_LISTAS!$B$1:$B$18</xm:f>
          </x14:formula1>
          <xm:sqref>L4 L23:L24 L26:L168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showGridLines="0" zoomScaleNormal="100" workbookViewId="0">
      <selection activeCell="C17" sqref="C17"/>
    </sheetView>
  </sheetViews>
  <sheetFormatPr defaultColWidth="9" defaultRowHeight="13.2" x14ac:dyDescent="0.25"/>
  <cols>
    <col min="1" max="1" width="44" customWidth="1"/>
    <col min="2" max="2" width="12" customWidth="1"/>
    <col min="3" max="3" width="22" customWidth="1"/>
    <col min="4" max="4" width="13" customWidth="1"/>
    <col min="5" max="5" width="14" customWidth="1"/>
  </cols>
  <sheetData>
    <row r="1" spans="1:8" ht="22.05" customHeight="1" x14ac:dyDescent="0.25">
      <c r="A1" s="101" t="s">
        <v>0</v>
      </c>
      <c r="B1" s="98"/>
      <c r="C1" s="98"/>
      <c r="D1" s="98"/>
      <c r="E1" s="98"/>
      <c r="F1" s="1"/>
      <c r="G1" s="1"/>
      <c r="H1" s="1"/>
    </row>
    <row r="2" spans="1:8" ht="22.05" customHeight="1" x14ac:dyDescent="0.25">
      <c r="A2" s="16" t="s">
        <v>1</v>
      </c>
      <c r="B2" s="16" t="s">
        <v>2</v>
      </c>
      <c r="C2" s="16" t="s">
        <v>3</v>
      </c>
      <c r="D2" s="16" t="s">
        <v>4</v>
      </c>
      <c r="E2" s="80" t="s">
        <v>5</v>
      </c>
      <c r="F2" s="1"/>
      <c r="G2" s="1"/>
      <c r="H2" s="1"/>
    </row>
    <row r="3" spans="1:8" ht="18" customHeight="1" x14ac:dyDescent="0.25">
      <c r="A3" s="17" t="s">
        <v>6</v>
      </c>
      <c r="B3" s="18">
        <v>1200</v>
      </c>
      <c r="C3" s="19" t="s">
        <v>7</v>
      </c>
      <c r="D3" s="20">
        <v>14</v>
      </c>
      <c r="E3" s="21">
        <v>85.7</v>
      </c>
      <c r="F3" s="1"/>
      <c r="G3" s="1"/>
      <c r="H3" s="1"/>
    </row>
    <row r="4" spans="1:8" ht="18" customHeight="1" x14ac:dyDescent="0.25">
      <c r="A4" s="22" t="s">
        <v>8</v>
      </c>
      <c r="B4" s="23">
        <v>2600</v>
      </c>
      <c r="C4" s="24" t="s">
        <v>7</v>
      </c>
      <c r="D4" s="25">
        <v>28</v>
      </c>
      <c r="E4" s="26">
        <v>92.9</v>
      </c>
      <c r="F4" s="1"/>
      <c r="G4" s="1"/>
      <c r="H4" s="1"/>
    </row>
    <row r="5" spans="1:8" ht="18" customHeight="1" x14ac:dyDescent="0.25">
      <c r="A5" s="17" t="s">
        <v>9</v>
      </c>
      <c r="B5" s="18">
        <v>3700</v>
      </c>
      <c r="C5" s="19" t="s">
        <v>10</v>
      </c>
      <c r="D5" s="20">
        <v>35</v>
      </c>
      <c r="E5" s="21">
        <v>105.7</v>
      </c>
      <c r="F5" s="1"/>
      <c r="G5" s="1"/>
      <c r="H5" s="1"/>
    </row>
    <row r="6" spans="1:8" ht="18" customHeight="1" x14ac:dyDescent="0.25">
      <c r="A6" s="22" t="s">
        <v>11</v>
      </c>
      <c r="B6" s="23">
        <v>5700</v>
      </c>
      <c r="C6" s="24" t="s">
        <v>10</v>
      </c>
      <c r="D6" s="25">
        <v>70</v>
      </c>
      <c r="E6" s="26">
        <v>81.400000000000006</v>
      </c>
      <c r="F6" s="1"/>
      <c r="G6" s="1"/>
      <c r="H6" s="1"/>
    </row>
    <row r="7" spans="1:8" ht="18" customHeight="1" x14ac:dyDescent="0.25">
      <c r="A7" s="17" t="s">
        <v>12</v>
      </c>
      <c r="B7" s="18">
        <v>12900</v>
      </c>
      <c r="C7" s="19" t="s">
        <v>10</v>
      </c>
      <c r="D7" s="20">
        <v>150</v>
      </c>
      <c r="E7" s="21">
        <v>86</v>
      </c>
      <c r="F7" s="1"/>
      <c r="G7" s="1"/>
      <c r="H7" s="1"/>
    </row>
    <row r="8" spans="1:8" ht="18" customHeight="1" x14ac:dyDescent="0.25">
      <c r="A8" s="22" t="s">
        <v>13</v>
      </c>
      <c r="B8" s="23">
        <v>17000</v>
      </c>
      <c r="C8" s="24" t="s">
        <v>10</v>
      </c>
      <c r="D8" s="25">
        <v>250</v>
      </c>
      <c r="E8" s="26">
        <v>68</v>
      </c>
      <c r="F8" s="1"/>
      <c r="G8" s="1"/>
      <c r="H8" s="1"/>
    </row>
    <row r="9" spans="1:8" ht="18" customHeight="1" x14ac:dyDescent="0.25">
      <c r="A9" s="17" t="s">
        <v>14</v>
      </c>
      <c r="B9" s="18">
        <v>32000</v>
      </c>
      <c r="C9" s="19" t="s">
        <v>10</v>
      </c>
      <c r="D9" s="20">
        <v>400</v>
      </c>
      <c r="E9" s="21">
        <v>80</v>
      </c>
      <c r="F9" s="1"/>
      <c r="G9" s="1"/>
      <c r="H9" s="1"/>
    </row>
    <row r="10" spans="1:8" ht="18" customHeight="1" x14ac:dyDescent="0.25">
      <c r="A10" s="22" t="s">
        <v>15</v>
      </c>
      <c r="B10" s="23">
        <v>700</v>
      </c>
      <c r="C10" s="24" t="s">
        <v>16</v>
      </c>
      <c r="D10" s="25">
        <v>10</v>
      </c>
      <c r="E10" s="26">
        <v>70</v>
      </c>
      <c r="F10" s="1"/>
      <c r="G10" s="1"/>
      <c r="H10" s="1"/>
    </row>
    <row r="11" spans="1:8" ht="18" customHeight="1" x14ac:dyDescent="0.25">
      <c r="A11" s="17" t="s">
        <v>17</v>
      </c>
      <c r="B11" s="18">
        <v>1000</v>
      </c>
      <c r="C11" s="19" t="s">
        <v>16</v>
      </c>
      <c r="D11" s="20">
        <v>14</v>
      </c>
      <c r="E11" s="21">
        <v>71.400000000000006</v>
      </c>
      <c r="F11" s="1"/>
      <c r="G11" s="1"/>
      <c r="H11" s="1"/>
    </row>
    <row r="12" spans="1:8" ht="18" customHeight="1" x14ac:dyDescent="0.25">
      <c r="A12" s="22" t="s">
        <v>18</v>
      </c>
      <c r="B12" s="23">
        <v>1700</v>
      </c>
      <c r="C12" s="24" t="s">
        <v>16</v>
      </c>
      <c r="D12" s="25">
        <v>20</v>
      </c>
      <c r="E12" s="26">
        <v>85</v>
      </c>
      <c r="F12" s="3"/>
      <c r="G12" s="3"/>
      <c r="H12" s="3"/>
    </row>
    <row r="13" spans="1:8" ht="18" customHeight="1" x14ac:dyDescent="0.25">
      <c r="A13" s="17" t="s">
        <v>19</v>
      </c>
      <c r="B13" s="18">
        <v>2800</v>
      </c>
      <c r="C13" s="19" t="s">
        <v>16</v>
      </c>
      <c r="D13" s="20">
        <v>32</v>
      </c>
      <c r="E13" s="21">
        <v>87.5</v>
      </c>
      <c r="F13" s="3"/>
      <c r="G13" s="3"/>
      <c r="H13" s="3"/>
    </row>
    <row r="14" spans="1:8" ht="18" customHeight="1" x14ac:dyDescent="0.25">
      <c r="A14" s="22" t="s">
        <v>20</v>
      </c>
      <c r="B14" s="23">
        <v>3900</v>
      </c>
      <c r="C14" s="24" t="s">
        <v>16</v>
      </c>
      <c r="D14" s="25">
        <v>40</v>
      </c>
      <c r="E14" s="26">
        <v>97.5</v>
      </c>
      <c r="F14" s="3"/>
      <c r="G14" s="3"/>
      <c r="H14" s="3"/>
    </row>
    <row r="15" spans="1:8" ht="18" customHeight="1" x14ac:dyDescent="0.25">
      <c r="A15" s="17" t="s">
        <v>21</v>
      </c>
      <c r="B15" s="18">
        <v>4500</v>
      </c>
      <c r="C15" s="19" t="s">
        <v>16</v>
      </c>
      <c r="D15" s="27">
        <v>50</v>
      </c>
      <c r="E15" s="21">
        <v>90</v>
      </c>
      <c r="F15" s="1"/>
      <c r="G15" s="4"/>
      <c r="H15" s="4"/>
    </row>
    <row r="16" spans="1:8" x14ac:dyDescent="0.25">
      <c r="A16" s="22" t="s">
        <v>358</v>
      </c>
      <c r="B16" s="23">
        <v>2550</v>
      </c>
      <c r="C16" s="24" t="s">
        <v>359</v>
      </c>
      <c r="D16" s="25">
        <v>30</v>
      </c>
      <c r="E16" s="26">
        <v>85</v>
      </c>
      <c r="F16" s="3"/>
      <c r="G16" s="3"/>
      <c r="H16" s="3"/>
    </row>
    <row r="17" spans="1:8" ht="22.8" x14ac:dyDescent="0.25">
      <c r="A17" s="17" t="s">
        <v>360</v>
      </c>
      <c r="B17" s="18">
        <v>2550</v>
      </c>
      <c r="C17" s="19" t="s">
        <v>359</v>
      </c>
      <c r="D17" s="27">
        <v>30</v>
      </c>
      <c r="E17" s="21">
        <v>85</v>
      </c>
      <c r="F17" s="1"/>
      <c r="G17" s="4"/>
      <c r="H17" s="4"/>
    </row>
    <row r="18" spans="1:8" ht="22.8" x14ac:dyDescent="0.25">
      <c r="A18" s="22" t="s">
        <v>361</v>
      </c>
      <c r="B18" s="23">
        <v>2550</v>
      </c>
      <c r="C18" s="24" t="s">
        <v>359</v>
      </c>
      <c r="D18" s="25">
        <v>30</v>
      </c>
      <c r="E18" s="26">
        <v>85</v>
      </c>
      <c r="F18" s="3"/>
      <c r="G18" s="3"/>
      <c r="H18" s="3"/>
    </row>
    <row r="19" spans="1:8" ht="22.8" x14ac:dyDescent="0.25">
      <c r="A19" s="17" t="s">
        <v>362</v>
      </c>
      <c r="B19" s="18">
        <v>2400</v>
      </c>
      <c r="C19" s="19" t="s">
        <v>359</v>
      </c>
      <c r="D19" s="27">
        <v>30</v>
      </c>
      <c r="E19" s="21">
        <v>80</v>
      </c>
      <c r="F19" s="1"/>
      <c r="G19" s="4"/>
      <c r="H19" s="4"/>
    </row>
    <row r="20" spans="1:8" ht="22.8" x14ac:dyDescent="0.25">
      <c r="A20" s="22" t="s">
        <v>363</v>
      </c>
      <c r="B20" s="23">
        <v>4250</v>
      </c>
      <c r="C20" s="24" t="s">
        <v>359</v>
      </c>
      <c r="D20" s="25">
        <v>50</v>
      </c>
      <c r="E20" s="26">
        <v>85</v>
      </c>
      <c r="F20" s="3"/>
      <c r="G20" s="3"/>
      <c r="H20" s="3"/>
    </row>
    <row r="21" spans="1:8" ht="22.8" x14ac:dyDescent="0.25">
      <c r="A21" s="17" t="s">
        <v>364</v>
      </c>
      <c r="B21" s="18">
        <v>8500</v>
      </c>
      <c r="C21" s="19" t="s">
        <v>359</v>
      </c>
      <c r="D21" s="27">
        <v>100</v>
      </c>
      <c r="E21" s="21">
        <v>85</v>
      </c>
      <c r="F21" s="1"/>
      <c r="G21" s="4"/>
      <c r="H21" s="4"/>
    </row>
    <row r="22" spans="1:8" x14ac:dyDescent="0.25">
      <c r="A22" s="22" t="s">
        <v>365</v>
      </c>
      <c r="B22" s="23">
        <v>12000</v>
      </c>
      <c r="C22" s="24" t="s">
        <v>359</v>
      </c>
      <c r="D22" s="25">
        <v>150</v>
      </c>
      <c r="E22" s="26">
        <v>80</v>
      </c>
      <c r="F22" s="3"/>
      <c r="G22" s="3"/>
      <c r="H22" s="3"/>
    </row>
    <row r="23" spans="1:8" x14ac:dyDescent="0.25">
      <c r="A23" s="17" t="s">
        <v>366</v>
      </c>
      <c r="B23" s="18">
        <v>15000</v>
      </c>
      <c r="C23" s="19" t="s">
        <v>359</v>
      </c>
      <c r="D23" s="27">
        <v>200</v>
      </c>
      <c r="E23" s="21">
        <v>75</v>
      </c>
      <c r="F23" s="1"/>
      <c r="G23" s="4"/>
      <c r="H23" s="4"/>
    </row>
    <row r="24" spans="1:8" x14ac:dyDescent="0.25">
      <c r="A24" s="22" t="s">
        <v>367</v>
      </c>
      <c r="B24" s="23">
        <v>30000</v>
      </c>
      <c r="C24" s="24" t="s">
        <v>359</v>
      </c>
      <c r="D24" s="25">
        <v>400</v>
      </c>
      <c r="E24" s="26">
        <v>75</v>
      </c>
      <c r="F24" s="3"/>
      <c r="G24" s="3"/>
      <c r="H24" s="3"/>
    </row>
    <row r="25" spans="1:8" x14ac:dyDescent="0.25">
      <c r="A25" s="17" t="s">
        <v>368</v>
      </c>
      <c r="B25" s="18">
        <v>37000</v>
      </c>
      <c r="C25" s="19" t="s">
        <v>359</v>
      </c>
      <c r="D25" s="27">
        <v>500</v>
      </c>
      <c r="E25" s="21">
        <v>75</v>
      </c>
      <c r="F25" s="1"/>
      <c r="G25" s="4"/>
      <c r="H25" s="4"/>
    </row>
    <row r="26" spans="1:8" ht="22.8" x14ac:dyDescent="0.25">
      <c r="A26" s="22" t="s">
        <v>369</v>
      </c>
      <c r="B26" s="23">
        <v>8500</v>
      </c>
      <c r="C26" s="24" t="s">
        <v>359</v>
      </c>
      <c r="D26" s="25">
        <v>100</v>
      </c>
      <c r="E26" s="26">
        <v>85</v>
      </c>
      <c r="F26" s="3"/>
      <c r="G26" s="3"/>
      <c r="H26" s="3"/>
    </row>
    <row r="27" spans="1:8" ht="22.8" x14ac:dyDescent="0.25">
      <c r="A27" s="17" t="s">
        <v>370</v>
      </c>
      <c r="B27" s="18">
        <v>1600</v>
      </c>
      <c r="C27" s="19" t="s">
        <v>359</v>
      </c>
      <c r="D27" s="27">
        <v>20</v>
      </c>
      <c r="E27" s="21">
        <v>80</v>
      </c>
      <c r="F27" s="1"/>
      <c r="G27" s="4"/>
      <c r="H27" s="4"/>
    </row>
    <row r="28" spans="1:8" ht="22.8" x14ac:dyDescent="0.25">
      <c r="A28" s="79" t="s">
        <v>351</v>
      </c>
      <c r="B28" s="23">
        <v>3700</v>
      </c>
      <c r="C28" s="81" t="s">
        <v>350</v>
      </c>
      <c r="D28" s="25">
        <v>80</v>
      </c>
      <c r="E28" s="26">
        <v>65</v>
      </c>
      <c r="F28" s="3"/>
      <c r="G28" s="3"/>
      <c r="H28" s="3"/>
    </row>
    <row r="29" spans="1:8" x14ac:dyDescent="0.25">
      <c r="A29" s="17" t="s">
        <v>352</v>
      </c>
      <c r="B29" s="18">
        <v>1800</v>
      </c>
      <c r="C29" s="19" t="s">
        <v>350</v>
      </c>
      <c r="D29" s="27">
        <v>18</v>
      </c>
      <c r="E29" s="21">
        <v>100</v>
      </c>
      <c r="F29" s="1"/>
      <c r="G29" s="4"/>
      <c r="H29" s="4"/>
    </row>
    <row r="30" spans="1:8" x14ac:dyDescent="0.25">
      <c r="A30" s="79" t="s">
        <v>353</v>
      </c>
      <c r="B30" s="23">
        <v>3600</v>
      </c>
      <c r="C30" s="81" t="s">
        <v>350</v>
      </c>
      <c r="D30" s="25">
        <v>36</v>
      </c>
      <c r="E30" s="26">
        <v>100</v>
      </c>
      <c r="F30" s="3"/>
      <c r="G30" s="3"/>
      <c r="H30" s="3"/>
    </row>
    <row r="31" spans="1:8" x14ac:dyDescent="0.25">
      <c r="A31" s="17" t="s">
        <v>354</v>
      </c>
      <c r="B31" s="18">
        <v>3600</v>
      </c>
      <c r="C31" s="19" t="s">
        <v>350</v>
      </c>
      <c r="D31" s="27">
        <v>36</v>
      </c>
      <c r="E31" s="21">
        <v>100</v>
      </c>
      <c r="F31" s="1"/>
      <c r="G31" s="4"/>
      <c r="H31" s="4"/>
    </row>
    <row r="32" spans="1:8" x14ac:dyDescent="0.25">
      <c r="A32" s="79" t="s">
        <v>22</v>
      </c>
      <c r="B32" s="23">
        <v>3700</v>
      </c>
      <c r="C32" s="81" t="s">
        <v>23</v>
      </c>
      <c r="D32" s="25">
        <v>40</v>
      </c>
      <c r="E32" s="26">
        <v>92.5</v>
      </c>
      <c r="F32" s="3"/>
      <c r="G32" s="3"/>
      <c r="H32" s="3"/>
    </row>
    <row r="33" spans="1:8" x14ac:dyDescent="0.25">
      <c r="A33" s="17" t="s">
        <v>24</v>
      </c>
      <c r="B33" s="18">
        <v>900</v>
      </c>
      <c r="C33" s="19" t="s">
        <v>25</v>
      </c>
      <c r="D33" s="27">
        <v>12</v>
      </c>
      <c r="E33" s="21">
        <v>75</v>
      </c>
      <c r="F33" s="1"/>
      <c r="G33" s="4"/>
      <c r="H33" s="4"/>
    </row>
    <row r="34" spans="1:8" x14ac:dyDescent="0.25">
      <c r="A34" s="79" t="s">
        <v>26</v>
      </c>
      <c r="B34" s="23">
        <v>4000</v>
      </c>
      <c r="C34" s="81" t="s">
        <v>27</v>
      </c>
      <c r="D34" s="25">
        <v>50</v>
      </c>
      <c r="E34" s="26">
        <v>80</v>
      </c>
      <c r="F34" s="3"/>
      <c r="G34" s="3"/>
      <c r="H34" s="3"/>
    </row>
    <row r="35" spans="1:8" x14ac:dyDescent="0.25">
      <c r="A35" s="17" t="s">
        <v>28</v>
      </c>
      <c r="B35" s="18">
        <v>15495</v>
      </c>
      <c r="C35" s="19" t="s">
        <v>29</v>
      </c>
      <c r="D35" s="27">
        <v>150</v>
      </c>
      <c r="E35" s="21">
        <v>103.3</v>
      </c>
      <c r="F35" s="1"/>
      <c r="G35" s="4"/>
      <c r="H35" s="4"/>
    </row>
    <row r="36" spans="1:8" x14ac:dyDescent="0.25">
      <c r="A36" s="79" t="s">
        <v>30</v>
      </c>
      <c r="B36" s="23">
        <v>27775</v>
      </c>
      <c r="C36" s="81" t="s">
        <v>29</v>
      </c>
      <c r="D36" s="25">
        <v>250</v>
      </c>
      <c r="E36" s="26">
        <v>111.1</v>
      </c>
      <c r="F36" s="3"/>
      <c r="G36" s="3"/>
      <c r="H36" s="3"/>
    </row>
    <row r="37" spans="1:8" ht="18" customHeight="1" x14ac:dyDescent="0.25">
      <c r="A37" s="15"/>
    </row>
    <row r="38" spans="1:8" ht="18" customHeight="1" x14ac:dyDescent="0.25">
      <c r="A38" s="5"/>
      <c r="B38" s="6"/>
      <c r="C38" s="7"/>
      <c r="D38" s="8"/>
      <c r="E38" s="9"/>
    </row>
    <row r="39" spans="1:8" ht="18" customHeight="1" x14ac:dyDescent="0.25">
      <c r="A39" s="15"/>
    </row>
    <row r="40" spans="1:8" ht="18" customHeight="1" x14ac:dyDescent="0.25">
      <c r="A40" s="5"/>
      <c r="B40" s="6"/>
      <c r="C40" s="7"/>
      <c r="D40" s="8"/>
      <c r="E40" s="9"/>
    </row>
    <row r="41" spans="1:8" ht="18" customHeight="1" x14ac:dyDescent="0.25">
      <c r="A41" s="15"/>
    </row>
    <row r="42" spans="1:8" ht="18" customHeight="1" x14ac:dyDescent="0.25">
      <c r="A42" s="5"/>
      <c r="B42" s="6"/>
      <c r="C42" s="7"/>
      <c r="D42" s="8"/>
      <c r="E42" s="9"/>
    </row>
    <row r="43" spans="1:8" ht="18" customHeight="1" x14ac:dyDescent="0.25">
      <c r="A43" s="10"/>
      <c r="B43" s="11"/>
      <c r="C43" s="12"/>
      <c r="D43" s="13"/>
      <c r="E43" s="14"/>
    </row>
  </sheetData>
  <mergeCells count="1">
    <mergeCell ref="A1:E1"/>
  </mergeCells>
  <pageMargins left="0.78749999999999998" right="0.78749999999999998" top="0.98402777777777795" bottom="0.98402777777777795" header="0.511811023622047" footer="0.511811023622047"/>
  <pageSetup paperSize="9" orientation="portrait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1"/>
  <sheetViews>
    <sheetView showGridLines="0" workbookViewId="0">
      <selection activeCell="A45" sqref="A45:F45"/>
    </sheetView>
  </sheetViews>
  <sheetFormatPr defaultRowHeight="13.2" x14ac:dyDescent="0.25"/>
  <cols>
    <col min="1" max="1" width="14" customWidth="1"/>
    <col min="2" max="2" width="26" customWidth="1"/>
    <col min="3" max="3" width="46" customWidth="1"/>
    <col min="4" max="6" width="10" customWidth="1"/>
  </cols>
  <sheetData>
    <row r="1" spans="1:6" ht="24" customHeight="1" x14ac:dyDescent="0.25">
      <c r="A1" s="103" t="s">
        <v>66</v>
      </c>
      <c r="B1" s="98"/>
      <c r="C1" s="98"/>
      <c r="D1" s="98"/>
      <c r="E1" s="98"/>
      <c r="F1" s="98"/>
    </row>
    <row r="2" spans="1:6" ht="13.95" customHeight="1" x14ac:dyDescent="0.25">
      <c r="A2" s="105" t="s">
        <v>67</v>
      </c>
      <c r="B2" s="98"/>
      <c r="C2" s="98"/>
      <c r="D2" s="98"/>
      <c r="E2" s="98"/>
      <c r="F2" s="98"/>
    </row>
    <row r="3" spans="1:6" ht="24" customHeight="1" x14ac:dyDescent="0.25">
      <c r="A3" s="16" t="s">
        <v>68</v>
      </c>
      <c r="B3" s="16" t="s">
        <v>69</v>
      </c>
      <c r="C3" s="16" t="s">
        <v>70</v>
      </c>
      <c r="D3" s="16" t="s">
        <v>71</v>
      </c>
      <c r="E3" s="16" t="s">
        <v>72</v>
      </c>
      <c r="F3" s="16" t="s">
        <v>73</v>
      </c>
    </row>
    <row r="4" spans="1:6" ht="18" customHeight="1" x14ac:dyDescent="0.25">
      <c r="A4" s="106" t="s">
        <v>74</v>
      </c>
      <c r="B4" s="98"/>
      <c r="C4" s="98"/>
      <c r="D4" s="98"/>
      <c r="E4" s="98"/>
      <c r="F4" s="98"/>
    </row>
    <row r="5" spans="1:6" ht="18" customHeight="1" x14ac:dyDescent="0.25">
      <c r="A5" s="102" t="s">
        <v>75</v>
      </c>
      <c r="B5" s="98"/>
      <c r="C5" s="98"/>
      <c r="D5" s="98"/>
      <c r="E5" s="98"/>
      <c r="F5" s="98"/>
    </row>
    <row r="6" spans="1:6" ht="16.05" customHeight="1" x14ac:dyDescent="0.25">
      <c r="A6" s="28" t="s">
        <v>76</v>
      </c>
      <c r="B6" s="19" t="s">
        <v>75</v>
      </c>
      <c r="C6" s="17" t="s">
        <v>77</v>
      </c>
      <c r="D6" s="20">
        <v>100</v>
      </c>
      <c r="E6" s="29">
        <v>100</v>
      </c>
      <c r="F6" s="20">
        <v>100</v>
      </c>
    </row>
    <row r="7" spans="1:6" ht="16.05" customHeight="1" x14ac:dyDescent="0.25">
      <c r="A7" s="30" t="s">
        <v>76</v>
      </c>
      <c r="B7" s="24" t="s">
        <v>75</v>
      </c>
      <c r="C7" s="22" t="s">
        <v>78</v>
      </c>
      <c r="D7" s="25">
        <v>200</v>
      </c>
      <c r="E7" s="31">
        <v>200</v>
      </c>
      <c r="F7" s="25">
        <v>200</v>
      </c>
    </row>
    <row r="8" spans="1:6" ht="16.05" customHeight="1" x14ac:dyDescent="0.25">
      <c r="A8" s="28" t="s">
        <v>76</v>
      </c>
      <c r="B8" s="19" t="s">
        <v>75</v>
      </c>
      <c r="C8" s="17" t="s">
        <v>79</v>
      </c>
      <c r="D8" s="20">
        <v>100</v>
      </c>
      <c r="E8" s="29">
        <v>100</v>
      </c>
      <c r="F8" s="20">
        <v>100</v>
      </c>
    </row>
    <row r="9" spans="1:6" ht="16.05" customHeight="1" x14ac:dyDescent="0.25">
      <c r="A9" s="30" t="s">
        <v>76</v>
      </c>
      <c r="B9" s="24" t="s">
        <v>75</v>
      </c>
      <c r="C9" s="22" t="s">
        <v>80</v>
      </c>
      <c r="D9" s="25">
        <v>150</v>
      </c>
      <c r="E9" s="31">
        <v>150</v>
      </c>
      <c r="F9" s="25">
        <v>150</v>
      </c>
    </row>
    <row r="10" spans="1:6" ht="16.05" customHeight="1" x14ac:dyDescent="0.25">
      <c r="A10" s="28" t="s">
        <v>76</v>
      </c>
      <c r="B10" s="19" t="s">
        <v>75</v>
      </c>
      <c r="C10" s="17" t="s">
        <v>81</v>
      </c>
      <c r="D10" s="20">
        <v>150</v>
      </c>
      <c r="E10" s="29">
        <v>150</v>
      </c>
      <c r="F10" s="20">
        <v>150</v>
      </c>
    </row>
    <row r="11" spans="1:6" ht="16.05" customHeight="1" x14ac:dyDescent="0.25">
      <c r="A11" s="30" t="s">
        <v>76</v>
      </c>
      <c r="B11" s="24" t="s">
        <v>75</v>
      </c>
      <c r="C11" s="22" t="s">
        <v>82</v>
      </c>
      <c r="D11" s="25">
        <v>200</v>
      </c>
      <c r="E11" s="31">
        <v>200</v>
      </c>
      <c r="F11" s="25">
        <v>200</v>
      </c>
    </row>
    <row r="12" spans="1:6" ht="16.05" customHeight="1" x14ac:dyDescent="0.25">
      <c r="A12" s="28" t="s">
        <v>76</v>
      </c>
      <c r="B12" s="19" t="s">
        <v>75</v>
      </c>
      <c r="C12" s="17" t="s">
        <v>83</v>
      </c>
      <c r="D12" s="20">
        <v>100</v>
      </c>
      <c r="E12" s="29">
        <v>100</v>
      </c>
      <c r="F12" s="20">
        <v>100</v>
      </c>
    </row>
    <row r="13" spans="1:6" ht="16.05" customHeight="1" x14ac:dyDescent="0.25">
      <c r="A13" s="30" t="s">
        <v>76</v>
      </c>
      <c r="B13" s="24" t="s">
        <v>75</v>
      </c>
      <c r="C13" s="22" t="s">
        <v>84</v>
      </c>
      <c r="D13" s="25">
        <v>300</v>
      </c>
      <c r="E13" s="31">
        <v>300</v>
      </c>
      <c r="F13" s="25">
        <v>300</v>
      </c>
    </row>
    <row r="14" spans="1:6" ht="16.05" customHeight="1" x14ac:dyDescent="0.25">
      <c r="A14" s="28" t="s">
        <v>76</v>
      </c>
      <c r="B14" s="19" t="s">
        <v>75</v>
      </c>
      <c r="C14" s="17" t="s">
        <v>85</v>
      </c>
      <c r="D14" s="20">
        <v>200</v>
      </c>
      <c r="E14" s="29">
        <v>200</v>
      </c>
      <c r="F14" s="20">
        <v>200</v>
      </c>
    </row>
    <row r="15" spans="1:6" ht="16.05" customHeight="1" x14ac:dyDescent="0.25">
      <c r="A15" s="30" t="s">
        <v>76</v>
      </c>
      <c r="B15" s="24" t="s">
        <v>75</v>
      </c>
      <c r="C15" s="22" t="s">
        <v>86</v>
      </c>
      <c r="D15" s="25">
        <v>500</v>
      </c>
      <c r="E15" s="31">
        <v>500</v>
      </c>
      <c r="F15" s="25">
        <v>500</v>
      </c>
    </row>
    <row r="16" spans="1:6" ht="16.05" customHeight="1" x14ac:dyDescent="0.25">
      <c r="A16" s="28" t="s">
        <v>76</v>
      </c>
      <c r="B16" s="19" t="s">
        <v>75</v>
      </c>
      <c r="C16" s="17" t="s">
        <v>87</v>
      </c>
      <c r="D16" s="20">
        <v>500</v>
      </c>
      <c r="E16" s="29">
        <v>500</v>
      </c>
      <c r="F16" s="20">
        <v>500</v>
      </c>
    </row>
    <row r="17" spans="1:6" ht="16.05" customHeight="1" x14ac:dyDescent="0.25">
      <c r="A17" s="30" t="s">
        <v>76</v>
      </c>
      <c r="B17" s="24" t="s">
        <v>75</v>
      </c>
      <c r="C17" s="22" t="s">
        <v>88</v>
      </c>
      <c r="D17" s="25">
        <v>100</v>
      </c>
      <c r="E17" s="31">
        <v>100</v>
      </c>
      <c r="F17" s="25">
        <v>100</v>
      </c>
    </row>
    <row r="18" spans="1:6" ht="16.05" customHeight="1" x14ac:dyDescent="0.25">
      <c r="A18" s="28" t="s">
        <v>76</v>
      </c>
      <c r="B18" s="19" t="s">
        <v>75</v>
      </c>
      <c r="C18" s="17" t="s">
        <v>89</v>
      </c>
      <c r="D18" s="20">
        <v>300</v>
      </c>
      <c r="E18" s="29">
        <v>300</v>
      </c>
      <c r="F18" s="20">
        <v>300</v>
      </c>
    </row>
    <row r="19" spans="1:6" ht="16.05" customHeight="1" x14ac:dyDescent="0.25">
      <c r="A19" s="30" t="s">
        <v>76</v>
      </c>
      <c r="B19" s="24" t="s">
        <v>75</v>
      </c>
      <c r="C19" s="22" t="s">
        <v>90</v>
      </c>
      <c r="D19" s="25">
        <v>150</v>
      </c>
      <c r="E19" s="31">
        <v>150</v>
      </c>
      <c r="F19" s="25">
        <v>150</v>
      </c>
    </row>
    <row r="20" spans="1:6" ht="18" customHeight="1" x14ac:dyDescent="0.25">
      <c r="A20" s="102" t="s">
        <v>91</v>
      </c>
      <c r="B20" s="98"/>
      <c r="C20" s="98"/>
      <c r="D20" s="98"/>
      <c r="E20" s="98"/>
      <c r="F20" s="98"/>
    </row>
    <row r="21" spans="1:6" ht="16.05" customHeight="1" x14ac:dyDescent="0.25">
      <c r="A21" s="30" t="s">
        <v>76</v>
      </c>
      <c r="B21" s="24" t="s">
        <v>91</v>
      </c>
      <c r="C21" s="22" t="s">
        <v>92</v>
      </c>
      <c r="D21" s="25">
        <v>300</v>
      </c>
      <c r="E21" s="31">
        <v>300</v>
      </c>
      <c r="F21" s="25">
        <v>300</v>
      </c>
    </row>
    <row r="22" spans="1:6" ht="16.05" customHeight="1" x14ac:dyDescent="0.25">
      <c r="A22" s="28" t="s">
        <v>76</v>
      </c>
      <c r="B22" s="19" t="s">
        <v>91</v>
      </c>
      <c r="C22" s="17" t="s">
        <v>93</v>
      </c>
      <c r="D22" s="20">
        <v>500</v>
      </c>
      <c r="E22" s="29">
        <v>500</v>
      </c>
      <c r="F22" s="20">
        <v>500</v>
      </c>
    </row>
    <row r="23" spans="1:6" ht="16.05" customHeight="1" x14ac:dyDescent="0.25">
      <c r="A23" s="30" t="s">
        <v>76</v>
      </c>
      <c r="B23" s="24" t="s">
        <v>91</v>
      </c>
      <c r="C23" s="22" t="s">
        <v>94</v>
      </c>
      <c r="D23" s="25">
        <v>750</v>
      </c>
      <c r="E23" s="31">
        <v>750</v>
      </c>
      <c r="F23" s="25">
        <v>750</v>
      </c>
    </row>
    <row r="24" spans="1:6" ht="16.05" customHeight="1" x14ac:dyDescent="0.25">
      <c r="A24" s="28" t="s">
        <v>76</v>
      </c>
      <c r="B24" s="19" t="s">
        <v>91</v>
      </c>
      <c r="C24" s="17" t="s">
        <v>95</v>
      </c>
      <c r="D24" s="20">
        <v>500</v>
      </c>
      <c r="E24" s="29">
        <v>500</v>
      </c>
      <c r="F24" s="20">
        <v>500</v>
      </c>
    </row>
    <row r="25" spans="1:6" ht="16.05" customHeight="1" x14ac:dyDescent="0.25">
      <c r="A25" s="30" t="s">
        <v>76</v>
      </c>
      <c r="B25" s="24" t="s">
        <v>91</v>
      </c>
      <c r="C25" s="22" t="s">
        <v>96</v>
      </c>
      <c r="D25" s="25">
        <v>500</v>
      </c>
      <c r="E25" s="31">
        <v>500</v>
      </c>
      <c r="F25" s="25">
        <v>500</v>
      </c>
    </row>
    <row r="26" spans="1:6" ht="16.05" customHeight="1" x14ac:dyDescent="0.25">
      <c r="A26" s="28" t="s">
        <v>76</v>
      </c>
      <c r="B26" s="19" t="s">
        <v>91</v>
      </c>
      <c r="C26" s="17" t="s">
        <v>97</v>
      </c>
      <c r="D26" s="20">
        <v>300</v>
      </c>
      <c r="E26" s="29">
        <v>300</v>
      </c>
      <c r="F26" s="20">
        <v>300</v>
      </c>
    </row>
    <row r="27" spans="1:6" ht="16.05" customHeight="1" x14ac:dyDescent="0.25">
      <c r="A27" s="30" t="s">
        <v>76</v>
      </c>
      <c r="B27" s="24" t="s">
        <v>91</v>
      </c>
      <c r="C27" s="22" t="s">
        <v>98</v>
      </c>
      <c r="D27" s="25">
        <v>200</v>
      </c>
      <c r="E27" s="31">
        <v>200</v>
      </c>
      <c r="F27" s="25">
        <v>200</v>
      </c>
    </row>
    <row r="28" spans="1:6" ht="18" customHeight="1" x14ac:dyDescent="0.25">
      <c r="A28" s="102" t="s">
        <v>99</v>
      </c>
      <c r="B28" s="98"/>
      <c r="C28" s="98"/>
      <c r="D28" s="98"/>
      <c r="E28" s="98"/>
      <c r="F28" s="98"/>
    </row>
    <row r="29" spans="1:6" ht="16.05" customHeight="1" x14ac:dyDescent="0.25">
      <c r="A29" s="30" t="s">
        <v>76</v>
      </c>
      <c r="B29" s="24" t="s">
        <v>99</v>
      </c>
      <c r="C29" s="22" t="s">
        <v>100</v>
      </c>
      <c r="D29" s="25">
        <v>300</v>
      </c>
      <c r="E29" s="31">
        <v>300</v>
      </c>
      <c r="F29" s="25">
        <v>300</v>
      </c>
    </row>
    <row r="30" spans="1:6" ht="16.05" customHeight="1" x14ac:dyDescent="0.25">
      <c r="A30" s="28" t="s">
        <v>76</v>
      </c>
      <c r="B30" s="19" t="s">
        <v>99</v>
      </c>
      <c r="C30" s="17" t="s">
        <v>101</v>
      </c>
      <c r="D30" s="20">
        <v>500</v>
      </c>
      <c r="E30" s="29">
        <v>500</v>
      </c>
      <c r="F30" s="20">
        <v>500</v>
      </c>
    </row>
    <row r="31" spans="1:6" ht="16.05" customHeight="1" x14ac:dyDescent="0.25">
      <c r="A31" s="30" t="s">
        <v>76</v>
      </c>
      <c r="B31" s="24" t="s">
        <v>99</v>
      </c>
      <c r="C31" s="22" t="s">
        <v>102</v>
      </c>
      <c r="D31" s="25">
        <v>500</v>
      </c>
      <c r="E31" s="31">
        <v>500</v>
      </c>
      <c r="F31" s="25">
        <v>500</v>
      </c>
    </row>
    <row r="32" spans="1:6" ht="18" customHeight="1" x14ac:dyDescent="0.25">
      <c r="A32" s="102" t="s">
        <v>103</v>
      </c>
      <c r="B32" s="98"/>
      <c r="C32" s="98"/>
      <c r="D32" s="98"/>
      <c r="E32" s="98"/>
      <c r="F32" s="98"/>
    </row>
    <row r="33" spans="1:6" ht="16.05" customHeight="1" x14ac:dyDescent="0.25">
      <c r="A33" s="30" t="s">
        <v>76</v>
      </c>
      <c r="B33" s="24" t="s">
        <v>103</v>
      </c>
      <c r="C33" s="22" t="s">
        <v>104</v>
      </c>
      <c r="D33" s="25">
        <v>300</v>
      </c>
      <c r="E33" s="31">
        <v>300</v>
      </c>
      <c r="F33" s="25">
        <v>300</v>
      </c>
    </row>
    <row r="34" spans="1:6" ht="16.05" customHeight="1" x14ac:dyDescent="0.25">
      <c r="A34" s="28" t="s">
        <v>76</v>
      </c>
      <c r="B34" s="19" t="s">
        <v>103</v>
      </c>
      <c r="C34" s="17" t="s">
        <v>105</v>
      </c>
      <c r="D34" s="20">
        <v>500</v>
      </c>
      <c r="E34" s="29">
        <v>500</v>
      </c>
      <c r="F34" s="20">
        <v>500</v>
      </c>
    </row>
    <row r="35" spans="1:6" ht="16.05" customHeight="1" x14ac:dyDescent="0.25">
      <c r="A35" s="30" t="s">
        <v>76</v>
      </c>
      <c r="B35" s="24" t="s">
        <v>103</v>
      </c>
      <c r="C35" s="22" t="s">
        <v>106</v>
      </c>
      <c r="D35" s="25">
        <v>200</v>
      </c>
      <c r="E35" s="31">
        <v>200</v>
      </c>
      <c r="F35" s="25">
        <v>200</v>
      </c>
    </row>
    <row r="36" spans="1:6" ht="16.05" customHeight="1" x14ac:dyDescent="0.25">
      <c r="A36" s="28" t="s">
        <v>76</v>
      </c>
      <c r="B36" s="19" t="s">
        <v>103</v>
      </c>
      <c r="C36" s="17" t="s">
        <v>107</v>
      </c>
      <c r="D36" s="20">
        <v>500</v>
      </c>
      <c r="E36" s="29">
        <v>500</v>
      </c>
      <c r="F36" s="20">
        <v>500</v>
      </c>
    </row>
    <row r="37" spans="1:6" ht="16.05" customHeight="1" x14ac:dyDescent="0.25">
      <c r="A37" s="30" t="s">
        <v>76</v>
      </c>
      <c r="B37" s="24" t="s">
        <v>103</v>
      </c>
      <c r="C37" s="22" t="s">
        <v>108</v>
      </c>
      <c r="D37" s="25">
        <v>100</v>
      </c>
      <c r="E37" s="31">
        <v>100</v>
      </c>
      <c r="F37" s="25">
        <v>100</v>
      </c>
    </row>
    <row r="38" spans="1:6" ht="18" customHeight="1" x14ac:dyDescent="0.25">
      <c r="A38" s="102" t="s">
        <v>109</v>
      </c>
      <c r="B38" s="98"/>
      <c r="C38" s="98"/>
      <c r="D38" s="98"/>
      <c r="E38" s="98"/>
      <c r="F38" s="98"/>
    </row>
    <row r="39" spans="1:6" ht="16.05" customHeight="1" x14ac:dyDescent="0.25">
      <c r="A39" s="30" t="s">
        <v>76</v>
      </c>
      <c r="B39" s="24" t="s">
        <v>109</v>
      </c>
      <c r="C39" s="22" t="s">
        <v>110</v>
      </c>
      <c r="D39" s="25">
        <v>200</v>
      </c>
      <c r="E39" s="31">
        <v>200</v>
      </c>
      <c r="F39" s="25">
        <v>200</v>
      </c>
    </row>
    <row r="40" spans="1:6" ht="16.05" customHeight="1" x14ac:dyDescent="0.25">
      <c r="A40" s="28" t="s">
        <v>76</v>
      </c>
      <c r="B40" s="19" t="s">
        <v>109</v>
      </c>
      <c r="C40" s="17" t="s">
        <v>111</v>
      </c>
      <c r="D40" s="20">
        <v>300</v>
      </c>
      <c r="E40" s="29">
        <v>300</v>
      </c>
      <c r="F40" s="20">
        <v>300</v>
      </c>
    </row>
    <row r="41" spans="1:6" ht="16.05" customHeight="1" x14ac:dyDescent="0.25">
      <c r="A41" s="30" t="s">
        <v>76</v>
      </c>
      <c r="B41" s="24" t="s">
        <v>109</v>
      </c>
      <c r="C41" s="22" t="s">
        <v>112</v>
      </c>
      <c r="D41" s="25">
        <v>300</v>
      </c>
      <c r="E41" s="31">
        <v>300</v>
      </c>
      <c r="F41" s="25">
        <v>300</v>
      </c>
    </row>
    <row r="42" spans="1:6" ht="18" customHeight="1" x14ac:dyDescent="0.25">
      <c r="A42" s="102" t="s">
        <v>113</v>
      </c>
      <c r="B42" s="98"/>
      <c r="C42" s="98"/>
      <c r="D42" s="98"/>
      <c r="E42" s="98"/>
      <c r="F42" s="98"/>
    </row>
    <row r="43" spans="1:6" ht="16.05" customHeight="1" x14ac:dyDescent="0.25">
      <c r="A43" s="30" t="s">
        <v>76</v>
      </c>
      <c r="B43" s="24" t="s">
        <v>113</v>
      </c>
      <c r="C43" s="22" t="s">
        <v>114</v>
      </c>
      <c r="D43" s="25">
        <v>200</v>
      </c>
      <c r="E43" s="31">
        <v>200</v>
      </c>
      <c r="F43" s="25">
        <v>200</v>
      </c>
    </row>
    <row r="44" spans="1:6" ht="16.05" customHeight="1" x14ac:dyDescent="0.25">
      <c r="A44" s="28" t="s">
        <v>76</v>
      </c>
      <c r="B44" s="19" t="s">
        <v>113</v>
      </c>
      <c r="C44" s="17" t="s">
        <v>115</v>
      </c>
      <c r="D44" s="20">
        <v>500</v>
      </c>
      <c r="E44" s="29">
        <v>500</v>
      </c>
      <c r="F44" s="20">
        <v>500</v>
      </c>
    </row>
    <row r="45" spans="1:6" ht="18" customHeight="1" x14ac:dyDescent="0.25">
      <c r="A45" s="102" t="s">
        <v>116</v>
      </c>
      <c r="B45" s="98"/>
      <c r="C45" s="98"/>
      <c r="D45" s="98"/>
      <c r="E45" s="98"/>
      <c r="F45" s="98"/>
    </row>
    <row r="46" spans="1:6" ht="16.05" customHeight="1" x14ac:dyDescent="0.25">
      <c r="A46" s="28" t="s">
        <v>76</v>
      </c>
      <c r="B46" s="19" t="s">
        <v>116</v>
      </c>
      <c r="C46" s="17" t="s">
        <v>117</v>
      </c>
      <c r="D46" s="20">
        <v>300</v>
      </c>
      <c r="E46" s="29">
        <v>300</v>
      </c>
      <c r="F46" s="20">
        <v>300</v>
      </c>
    </row>
    <row r="47" spans="1:6" ht="16.05" customHeight="1" x14ac:dyDescent="0.25">
      <c r="A47" s="30" t="s">
        <v>76</v>
      </c>
      <c r="B47" s="24" t="s">
        <v>116</v>
      </c>
      <c r="C47" s="22" t="s">
        <v>118</v>
      </c>
      <c r="D47" s="25">
        <v>75</v>
      </c>
      <c r="E47" s="31">
        <v>75</v>
      </c>
      <c r="F47" s="25">
        <v>75</v>
      </c>
    </row>
    <row r="48" spans="1:6" ht="16.05" customHeight="1" x14ac:dyDescent="0.25">
      <c r="A48" s="28" t="s">
        <v>76</v>
      </c>
      <c r="B48" s="19" t="s">
        <v>116</v>
      </c>
      <c r="C48" s="17" t="s">
        <v>119</v>
      </c>
      <c r="D48" s="20">
        <v>75</v>
      </c>
      <c r="E48" s="29">
        <v>75</v>
      </c>
      <c r="F48" s="20">
        <v>75</v>
      </c>
    </row>
    <row r="49" spans="1:6" ht="16.05" customHeight="1" x14ac:dyDescent="0.25">
      <c r="A49" s="30" t="s">
        <v>76</v>
      </c>
      <c r="B49" s="24" t="s">
        <v>116</v>
      </c>
      <c r="C49" s="22" t="s">
        <v>120</v>
      </c>
      <c r="D49" s="25">
        <v>75</v>
      </c>
      <c r="E49" s="31">
        <v>75</v>
      </c>
      <c r="F49" s="25">
        <v>75</v>
      </c>
    </row>
    <row r="50" spans="1:6" ht="16.05" customHeight="1" x14ac:dyDescent="0.25">
      <c r="A50" s="28" t="s">
        <v>76</v>
      </c>
      <c r="B50" s="19" t="s">
        <v>116</v>
      </c>
      <c r="C50" s="17" t="s">
        <v>121</v>
      </c>
      <c r="D50" s="20">
        <v>300</v>
      </c>
      <c r="E50" s="29">
        <v>300</v>
      </c>
      <c r="F50" s="20">
        <v>300</v>
      </c>
    </row>
    <row r="51" spans="1:6" ht="18" customHeight="1" x14ac:dyDescent="0.25">
      <c r="A51" s="102" t="s">
        <v>122</v>
      </c>
      <c r="B51" s="98"/>
      <c r="C51" s="98"/>
      <c r="D51" s="98"/>
      <c r="E51" s="98"/>
      <c r="F51" s="98"/>
    </row>
    <row r="52" spans="1:6" ht="16.05" customHeight="1" x14ac:dyDescent="0.25">
      <c r="A52" s="28" t="s">
        <v>76</v>
      </c>
      <c r="B52" s="19" t="s">
        <v>122</v>
      </c>
      <c r="C52" s="17" t="s">
        <v>123</v>
      </c>
      <c r="D52" s="20">
        <v>300</v>
      </c>
      <c r="E52" s="29">
        <v>300</v>
      </c>
      <c r="F52" s="20">
        <v>300</v>
      </c>
    </row>
    <row r="53" spans="1:6" ht="16.05" customHeight="1" x14ac:dyDescent="0.25">
      <c r="A53" s="30" t="s">
        <v>76</v>
      </c>
      <c r="B53" s="24" t="s">
        <v>122</v>
      </c>
      <c r="C53" s="22" t="s">
        <v>124</v>
      </c>
      <c r="D53" s="25">
        <v>300</v>
      </c>
      <c r="E53" s="31">
        <v>300</v>
      </c>
      <c r="F53" s="25">
        <v>300</v>
      </c>
    </row>
    <row r="54" spans="1:6" ht="16.05" customHeight="1" x14ac:dyDescent="0.25">
      <c r="A54" s="28" t="s">
        <v>76</v>
      </c>
      <c r="B54" s="19" t="s">
        <v>122</v>
      </c>
      <c r="C54" s="17" t="s">
        <v>125</v>
      </c>
      <c r="D54" s="20">
        <v>500</v>
      </c>
      <c r="E54" s="29">
        <v>500</v>
      </c>
      <c r="F54" s="20">
        <v>500</v>
      </c>
    </row>
    <row r="55" spans="1:6" ht="16.05" customHeight="1" x14ac:dyDescent="0.25">
      <c r="A55" s="30" t="s">
        <v>76</v>
      </c>
      <c r="B55" s="24" t="s">
        <v>122</v>
      </c>
      <c r="C55" s="22" t="s">
        <v>126</v>
      </c>
      <c r="D55" s="25">
        <v>500</v>
      </c>
      <c r="E55" s="31">
        <v>500</v>
      </c>
      <c r="F55" s="25">
        <v>500</v>
      </c>
    </row>
    <row r="56" spans="1:6" ht="16.05" customHeight="1" x14ac:dyDescent="0.25">
      <c r="A56" s="28" t="s">
        <v>76</v>
      </c>
      <c r="B56" s="19" t="s">
        <v>122</v>
      </c>
      <c r="C56" s="17" t="s">
        <v>127</v>
      </c>
      <c r="D56" s="20">
        <v>750</v>
      </c>
      <c r="E56" s="29">
        <v>750</v>
      </c>
      <c r="F56" s="20">
        <v>750</v>
      </c>
    </row>
    <row r="57" spans="1:6" ht="16.05" customHeight="1" x14ac:dyDescent="0.25">
      <c r="A57" s="30" t="s">
        <v>76</v>
      </c>
      <c r="B57" s="24" t="s">
        <v>122</v>
      </c>
      <c r="C57" s="22" t="s">
        <v>128</v>
      </c>
      <c r="D57" s="25">
        <v>300</v>
      </c>
      <c r="E57" s="31">
        <v>300</v>
      </c>
      <c r="F57" s="25">
        <v>300</v>
      </c>
    </row>
    <row r="58" spans="1:6" ht="16.05" customHeight="1" x14ac:dyDescent="0.25">
      <c r="A58" s="28" t="s">
        <v>76</v>
      </c>
      <c r="B58" s="19" t="s">
        <v>122</v>
      </c>
      <c r="C58" s="17" t="s">
        <v>129</v>
      </c>
      <c r="D58" s="20">
        <v>300</v>
      </c>
      <c r="E58" s="29">
        <v>300</v>
      </c>
      <c r="F58" s="20">
        <v>300</v>
      </c>
    </row>
    <row r="59" spans="1:6" ht="18" customHeight="1" x14ac:dyDescent="0.25">
      <c r="A59" s="102" t="s">
        <v>130</v>
      </c>
      <c r="B59" s="98"/>
      <c r="C59" s="98"/>
      <c r="D59" s="98"/>
      <c r="E59" s="98"/>
      <c r="F59" s="98"/>
    </row>
    <row r="60" spans="1:6" ht="16.05" customHeight="1" x14ac:dyDescent="0.25">
      <c r="A60" s="28" t="s">
        <v>76</v>
      </c>
      <c r="B60" s="19" t="s">
        <v>130</v>
      </c>
      <c r="C60" s="17" t="s">
        <v>131</v>
      </c>
      <c r="D60" s="20">
        <v>200</v>
      </c>
      <c r="E60" s="29">
        <v>200</v>
      </c>
      <c r="F60" s="20">
        <v>200</v>
      </c>
    </row>
    <row r="61" spans="1:6" ht="16.05" customHeight="1" x14ac:dyDescent="0.25">
      <c r="A61" s="30" t="s">
        <v>76</v>
      </c>
      <c r="B61" s="24" t="s">
        <v>130</v>
      </c>
      <c r="C61" s="22" t="s">
        <v>132</v>
      </c>
      <c r="D61" s="25">
        <v>200</v>
      </c>
      <c r="E61" s="31">
        <v>200</v>
      </c>
      <c r="F61" s="25">
        <v>200</v>
      </c>
    </row>
    <row r="62" spans="1:6" ht="16.05" customHeight="1" x14ac:dyDescent="0.25">
      <c r="A62" s="28" t="s">
        <v>76</v>
      </c>
      <c r="B62" s="19" t="s">
        <v>130</v>
      </c>
      <c r="C62" s="17" t="s">
        <v>133</v>
      </c>
      <c r="D62" s="20">
        <v>500</v>
      </c>
      <c r="E62" s="29">
        <v>500</v>
      </c>
      <c r="F62" s="20">
        <v>500</v>
      </c>
    </row>
    <row r="63" spans="1:6" ht="16.05" customHeight="1" x14ac:dyDescent="0.25">
      <c r="A63" s="30" t="s">
        <v>76</v>
      </c>
      <c r="B63" s="24" t="s">
        <v>130</v>
      </c>
      <c r="C63" s="22" t="s">
        <v>134</v>
      </c>
      <c r="D63" s="25">
        <v>100</v>
      </c>
      <c r="E63" s="31">
        <v>100</v>
      </c>
      <c r="F63" s="25">
        <v>100</v>
      </c>
    </row>
    <row r="64" spans="1:6" ht="16.05" customHeight="1" x14ac:dyDescent="0.25">
      <c r="A64" s="28" t="s">
        <v>76</v>
      </c>
      <c r="B64" s="19" t="s">
        <v>130</v>
      </c>
      <c r="C64" s="17" t="s">
        <v>135</v>
      </c>
      <c r="D64" s="20">
        <v>1000</v>
      </c>
      <c r="E64" s="29">
        <v>1000</v>
      </c>
      <c r="F64" s="20">
        <v>1000</v>
      </c>
    </row>
    <row r="65" spans="1:6" ht="16.05" customHeight="1" x14ac:dyDescent="0.25">
      <c r="A65" s="30" t="s">
        <v>76</v>
      </c>
      <c r="B65" s="24" t="s">
        <v>130</v>
      </c>
      <c r="C65" s="22" t="s">
        <v>136</v>
      </c>
      <c r="D65" s="25">
        <v>500</v>
      </c>
      <c r="E65" s="31">
        <v>500</v>
      </c>
      <c r="F65" s="25">
        <v>500</v>
      </c>
    </row>
    <row r="66" spans="1:6" ht="16.05" customHeight="1" x14ac:dyDescent="0.25">
      <c r="A66" s="28" t="s">
        <v>76</v>
      </c>
      <c r="B66" s="19" t="s">
        <v>130</v>
      </c>
      <c r="C66" s="17" t="s">
        <v>137</v>
      </c>
      <c r="D66" s="20">
        <v>1000</v>
      </c>
      <c r="E66" s="29">
        <v>1000</v>
      </c>
      <c r="F66" s="20">
        <v>1000</v>
      </c>
    </row>
    <row r="67" spans="1:6" ht="16.05" customHeight="1" x14ac:dyDescent="0.25">
      <c r="A67" s="30" t="s">
        <v>76</v>
      </c>
      <c r="B67" s="24" t="s">
        <v>130</v>
      </c>
      <c r="C67" s="22" t="s">
        <v>138</v>
      </c>
      <c r="D67" s="25">
        <v>100</v>
      </c>
      <c r="E67" s="31">
        <v>100</v>
      </c>
      <c r="F67" s="25">
        <v>100</v>
      </c>
    </row>
    <row r="68" spans="1:6" ht="16.05" customHeight="1" x14ac:dyDescent="0.25">
      <c r="A68" s="28" t="s">
        <v>76</v>
      </c>
      <c r="B68" s="19" t="s">
        <v>130</v>
      </c>
      <c r="C68" s="17" t="s">
        <v>139</v>
      </c>
      <c r="D68" s="20">
        <v>500</v>
      </c>
      <c r="E68" s="29">
        <v>500</v>
      </c>
      <c r="F68" s="20">
        <v>500</v>
      </c>
    </row>
    <row r="69" spans="1:6" ht="16.05" customHeight="1" x14ac:dyDescent="0.25">
      <c r="A69" s="30" t="s">
        <v>76</v>
      </c>
      <c r="B69" s="24" t="s">
        <v>130</v>
      </c>
      <c r="C69" s="22" t="s">
        <v>140</v>
      </c>
      <c r="D69" s="25">
        <v>300</v>
      </c>
      <c r="E69" s="31">
        <v>300</v>
      </c>
      <c r="F69" s="25">
        <v>300</v>
      </c>
    </row>
    <row r="70" spans="1:6" ht="18" customHeight="1" x14ac:dyDescent="0.25">
      <c r="A70" s="102" t="s">
        <v>141</v>
      </c>
      <c r="B70" s="98"/>
      <c r="C70" s="98"/>
      <c r="D70" s="98"/>
      <c r="E70" s="98"/>
      <c r="F70" s="98"/>
    </row>
    <row r="71" spans="1:6" ht="16.05" customHeight="1" x14ac:dyDescent="0.25">
      <c r="A71" s="30" t="s">
        <v>76</v>
      </c>
      <c r="B71" s="24" t="s">
        <v>141</v>
      </c>
      <c r="C71" s="22" t="s">
        <v>142</v>
      </c>
      <c r="D71" s="25">
        <v>200</v>
      </c>
      <c r="E71" s="31">
        <v>200</v>
      </c>
      <c r="F71" s="25">
        <v>200</v>
      </c>
    </row>
    <row r="72" spans="1:6" ht="16.05" customHeight="1" x14ac:dyDescent="0.25">
      <c r="A72" s="28" t="s">
        <v>76</v>
      </c>
      <c r="B72" s="19" t="s">
        <v>141</v>
      </c>
      <c r="C72" s="17" t="s">
        <v>143</v>
      </c>
      <c r="D72" s="20">
        <v>500</v>
      </c>
      <c r="E72" s="29">
        <v>500</v>
      </c>
      <c r="F72" s="20">
        <v>500</v>
      </c>
    </row>
    <row r="73" spans="1:6" ht="16.05" customHeight="1" x14ac:dyDescent="0.25">
      <c r="A73" s="30" t="s">
        <v>76</v>
      </c>
      <c r="B73" s="24" t="s">
        <v>141</v>
      </c>
      <c r="C73" s="22" t="s">
        <v>144</v>
      </c>
      <c r="D73" s="25">
        <v>500</v>
      </c>
      <c r="E73" s="31">
        <v>500</v>
      </c>
      <c r="F73" s="25">
        <v>500</v>
      </c>
    </row>
    <row r="74" spans="1:6" ht="16.05" customHeight="1" x14ac:dyDescent="0.25">
      <c r="A74" s="28" t="s">
        <v>76</v>
      </c>
      <c r="B74" s="19" t="s">
        <v>141</v>
      </c>
      <c r="C74" s="17" t="s">
        <v>145</v>
      </c>
      <c r="D74" s="20">
        <v>200</v>
      </c>
      <c r="E74" s="29">
        <v>200</v>
      </c>
      <c r="F74" s="20">
        <v>200</v>
      </c>
    </row>
    <row r="75" spans="1:6" ht="18" customHeight="1" x14ac:dyDescent="0.25">
      <c r="A75" s="102" t="s">
        <v>146</v>
      </c>
      <c r="B75" s="98"/>
      <c r="C75" s="98"/>
      <c r="D75" s="98"/>
      <c r="E75" s="98"/>
      <c r="F75" s="98"/>
    </row>
    <row r="76" spans="1:6" ht="16.05" customHeight="1" x14ac:dyDescent="0.25">
      <c r="A76" s="28" t="s">
        <v>76</v>
      </c>
      <c r="B76" s="19" t="s">
        <v>146</v>
      </c>
      <c r="C76" s="17" t="s">
        <v>147</v>
      </c>
      <c r="D76" s="20">
        <v>200</v>
      </c>
      <c r="E76" s="29">
        <v>200</v>
      </c>
      <c r="F76" s="20">
        <v>200</v>
      </c>
    </row>
    <row r="77" spans="1:6" ht="16.05" customHeight="1" x14ac:dyDescent="0.25">
      <c r="A77" s="30" t="s">
        <v>76</v>
      </c>
      <c r="B77" s="24" t="s">
        <v>146</v>
      </c>
      <c r="C77" s="22" t="s">
        <v>148</v>
      </c>
      <c r="D77" s="25">
        <v>500</v>
      </c>
      <c r="E77" s="31">
        <v>500</v>
      </c>
      <c r="F77" s="25">
        <v>500</v>
      </c>
    </row>
    <row r="78" spans="1:6" ht="6" customHeight="1" x14ac:dyDescent="0.25"/>
    <row r="79" spans="1:6" ht="18" customHeight="1" x14ac:dyDescent="0.25">
      <c r="A79" s="104" t="s">
        <v>149</v>
      </c>
      <c r="B79" s="98"/>
      <c r="C79" s="98"/>
      <c r="D79" s="98"/>
      <c r="E79" s="98"/>
      <c r="F79" s="98"/>
    </row>
    <row r="80" spans="1:6" ht="18" customHeight="1" x14ac:dyDescent="0.25">
      <c r="A80" s="102" t="s">
        <v>150</v>
      </c>
      <c r="B80" s="98"/>
      <c r="C80" s="98"/>
      <c r="D80" s="98"/>
      <c r="E80" s="98"/>
      <c r="F80" s="98"/>
    </row>
    <row r="81" spans="1:6" ht="16.05" customHeight="1" x14ac:dyDescent="0.25">
      <c r="A81" s="32" t="s">
        <v>151</v>
      </c>
      <c r="B81" s="24" t="s">
        <v>150</v>
      </c>
      <c r="C81" s="22" t="s">
        <v>152</v>
      </c>
      <c r="D81" s="25">
        <v>300</v>
      </c>
      <c r="E81" s="31">
        <v>500</v>
      </c>
      <c r="F81" s="25">
        <v>750</v>
      </c>
    </row>
    <row r="82" spans="1:6" ht="16.05" customHeight="1" x14ac:dyDescent="0.25">
      <c r="A82" s="33" t="s">
        <v>151</v>
      </c>
      <c r="B82" s="19" t="s">
        <v>150</v>
      </c>
      <c r="C82" s="17" t="s">
        <v>153</v>
      </c>
      <c r="D82" s="20">
        <v>100</v>
      </c>
      <c r="E82" s="29">
        <v>150</v>
      </c>
      <c r="F82" s="20">
        <v>200</v>
      </c>
    </row>
    <row r="83" spans="1:6" ht="16.05" customHeight="1" x14ac:dyDescent="0.25">
      <c r="A83" s="32" t="s">
        <v>151</v>
      </c>
      <c r="B83" s="24" t="s">
        <v>150</v>
      </c>
      <c r="C83" s="22" t="s">
        <v>154</v>
      </c>
      <c r="D83" s="25">
        <v>100</v>
      </c>
      <c r="E83" s="31">
        <v>150</v>
      </c>
      <c r="F83" s="25">
        <v>200</v>
      </c>
    </row>
    <row r="84" spans="1:6" ht="16.05" customHeight="1" x14ac:dyDescent="0.25">
      <c r="A84" s="33" t="s">
        <v>151</v>
      </c>
      <c r="B84" s="19" t="s">
        <v>150</v>
      </c>
      <c r="C84" s="17" t="s">
        <v>155</v>
      </c>
      <c r="D84" s="20">
        <v>300</v>
      </c>
      <c r="E84" s="29">
        <v>500</v>
      </c>
      <c r="F84" s="20">
        <v>750</v>
      </c>
    </row>
    <row r="85" spans="1:6" ht="18" customHeight="1" x14ac:dyDescent="0.25">
      <c r="A85" s="102" t="s">
        <v>156</v>
      </c>
      <c r="B85" s="98"/>
      <c r="C85" s="98"/>
      <c r="D85" s="98"/>
      <c r="E85" s="98"/>
      <c r="F85" s="98"/>
    </row>
    <row r="86" spans="1:6" ht="16.05" customHeight="1" x14ac:dyDescent="0.25">
      <c r="A86" s="33" t="s">
        <v>151</v>
      </c>
      <c r="B86" s="19" t="s">
        <v>156</v>
      </c>
      <c r="C86" s="17" t="s">
        <v>157</v>
      </c>
      <c r="D86" s="20">
        <v>300</v>
      </c>
      <c r="E86" s="29">
        <v>500</v>
      </c>
      <c r="F86" s="20">
        <v>750</v>
      </c>
    </row>
    <row r="87" spans="1:6" ht="16.05" customHeight="1" x14ac:dyDescent="0.25">
      <c r="A87" s="32" t="s">
        <v>151</v>
      </c>
      <c r="B87" s="24" t="s">
        <v>156</v>
      </c>
      <c r="C87" s="22" t="s">
        <v>158</v>
      </c>
      <c r="D87" s="25">
        <v>300</v>
      </c>
      <c r="E87" s="31">
        <v>500</v>
      </c>
      <c r="F87" s="25">
        <v>750</v>
      </c>
    </row>
    <row r="88" spans="1:6" ht="16.05" customHeight="1" x14ac:dyDescent="0.25">
      <c r="A88" s="33" t="s">
        <v>151</v>
      </c>
      <c r="B88" s="19" t="s">
        <v>156</v>
      </c>
      <c r="C88" s="17" t="s">
        <v>159</v>
      </c>
      <c r="D88" s="20">
        <v>100</v>
      </c>
      <c r="E88" s="29">
        <v>150</v>
      </c>
      <c r="F88" s="20">
        <v>200</v>
      </c>
    </row>
    <row r="89" spans="1:6" ht="16.05" customHeight="1" x14ac:dyDescent="0.25">
      <c r="A89" s="32" t="s">
        <v>151</v>
      </c>
      <c r="B89" s="24" t="s">
        <v>156</v>
      </c>
      <c r="C89" s="22" t="s">
        <v>160</v>
      </c>
      <c r="D89" s="25">
        <v>150</v>
      </c>
      <c r="E89" s="31">
        <v>200</v>
      </c>
      <c r="F89" s="25">
        <v>300</v>
      </c>
    </row>
    <row r="90" spans="1:6" ht="16.05" customHeight="1" x14ac:dyDescent="0.25">
      <c r="A90" s="33" t="s">
        <v>151</v>
      </c>
      <c r="B90" s="19" t="s">
        <v>156</v>
      </c>
      <c r="C90" s="17" t="s">
        <v>161</v>
      </c>
      <c r="D90" s="20">
        <v>300</v>
      </c>
      <c r="E90" s="29">
        <v>500</v>
      </c>
      <c r="F90" s="20">
        <v>750</v>
      </c>
    </row>
    <row r="91" spans="1:6" ht="16.05" customHeight="1" x14ac:dyDescent="0.25">
      <c r="A91" s="32" t="s">
        <v>151</v>
      </c>
      <c r="B91" s="24" t="s">
        <v>156</v>
      </c>
      <c r="C91" s="22" t="s">
        <v>162</v>
      </c>
      <c r="D91" s="25">
        <v>200</v>
      </c>
      <c r="E91" s="31">
        <v>300</v>
      </c>
      <c r="F91" s="25">
        <v>500</v>
      </c>
    </row>
    <row r="92" spans="1:6" ht="16.05" customHeight="1" x14ac:dyDescent="0.25">
      <c r="A92" s="33" t="s">
        <v>151</v>
      </c>
      <c r="B92" s="19" t="s">
        <v>156</v>
      </c>
      <c r="C92" s="17" t="s">
        <v>163</v>
      </c>
      <c r="D92" s="20">
        <v>100</v>
      </c>
      <c r="E92" s="29">
        <v>150</v>
      </c>
      <c r="F92" s="20">
        <v>200</v>
      </c>
    </row>
    <row r="93" spans="1:6" ht="18" customHeight="1" x14ac:dyDescent="0.25">
      <c r="A93" s="102" t="s">
        <v>164</v>
      </c>
      <c r="B93" s="98"/>
      <c r="C93" s="98"/>
      <c r="D93" s="98"/>
      <c r="E93" s="98"/>
      <c r="F93" s="98"/>
    </row>
    <row r="94" spans="1:6" ht="16.05" customHeight="1" x14ac:dyDescent="0.25">
      <c r="A94" s="33" t="s">
        <v>151</v>
      </c>
      <c r="B94" s="19" t="s">
        <v>164</v>
      </c>
      <c r="C94" s="17" t="s">
        <v>165</v>
      </c>
      <c r="D94" s="20">
        <v>300</v>
      </c>
      <c r="E94" s="29">
        <v>500</v>
      </c>
      <c r="F94" s="20">
        <v>750</v>
      </c>
    </row>
    <row r="95" spans="1:6" ht="16.05" customHeight="1" x14ac:dyDescent="0.25">
      <c r="A95" s="32" t="s">
        <v>151</v>
      </c>
      <c r="B95" s="24" t="s">
        <v>164</v>
      </c>
      <c r="C95" s="22" t="s">
        <v>166</v>
      </c>
      <c r="D95" s="25">
        <v>200</v>
      </c>
      <c r="E95" s="31">
        <v>300</v>
      </c>
      <c r="F95" s="25">
        <v>500</v>
      </c>
    </row>
    <row r="96" spans="1:6" ht="18" customHeight="1" x14ac:dyDescent="0.25">
      <c r="A96" s="102" t="s">
        <v>167</v>
      </c>
      <c r="B96" s="98"/>
      <c r="C96" s="98"/>
      <c r="D96" s="98"/>
      <c r="E96" s="98"/>
      <c r="F96" s="98"/>
    </row>
    <row r="97" spans="1:6" ht="16.05" customHeight="1" x14ac:dyDescent="0.25">
      <c r="A97" s="32" t="s">
        <v>151</v>
      </c>
      <c r="B97" s="24" t="s">
        <v>167</v>
      </c>
      <c r="C97" s="22" t="s">
        <v>168</v>
      </c>
      <c r="D97" s="25">
        <v>75</v>
      </c>
      <c r="E97" s="31">
        <v>100</v>
      </c>
      <c r="F97" s="25">
        <v>150</v>
      </c>
    </row>
    <row r="98" spans="1:6" ht="18" customHeight="1" x14ac:dyDescent="0.25">
      <c r="A98" s="102" t="s">
        <v>169</v>
      </c>
      <c r="B98" s="98"/>
      <c r="C98" s="98"/>
      <c r="D98" s="98"/>
      <c r="E98" s="98"/>
      <c r="F98" s="98"/>
    </row>
    <row r="99" spans="1:6" ht="16.05" customHeight="1" x14ac:dyDescent="0.25">
      <c r="A99" s="32" t="s">
        <v>151</v>
      </c>
      <c r="B99" s="24" t="s">
        <v>169</v>
      </c>
      <c r="C99" s="22" t="s">
        <v>170</v>
      </c>
      <c r="D99" s="25">
        <v>200</v>
      </c>
      <c r="E99" s="31">
        <v>300</v>
      </c>
      <c r="F99" s="25">
        <v>500</v>
      </c>
    </row>
    <row r="100" spans="1:6" ht="16.05" customHeight="1" x14ac:dyDescent="0.25">
      <c r="A100" s="33" t="s">
        <v>151</v>
      </c>
      <c r="B100" s="19" t="s">
        <v>169</v>
      </c>
      <c r="C100" s="17" t="s">
        <v>171</v>
      </c>
      <c r="D100" s="20">
        <v>300</v>
      </c>
      <c r="E100" s="29">
        <v>500</v>
      </c>
      <c r="F100" s="20">
        <v>750</v>
      </c>
    </row>
    <row r="101" spans="1:6" ht="16.05" customHeight="1" x14ac:dyDescent="0.25">
      <c r="A101" s="32" t="s">
        <v>151</v>
      </c>
      <c r="B101" s="24" t="s">
        <v>169</v>
      </c>
      <c r="C101" s="22" t="s">
        <v>172</v>
      </c>
      <c r="D101" s="25">
        <v>150</v>
      </c>
      <c r="E101" s="31">
        <v>200</v>
      </c>
      <c r="F101" s="25">
        <v>300</v>
      </c>
    </row>
    <row r="102" spans="1:6" ht="16.05" customHeight="1" x14ac:dyDescent="0.25">
      <c r="A102" s="33" t="s">
        <v>151</v>
      </c>
      <c r="B102" s="19" t="s">
        <v>169</v>
      </c>
      <c r="C102" s="17" t="s">
        <v>173</v>
      </c>
      <c r="D102" s="20">
        <v>300</v>
      </c>
      <c r="E102" s="29">
        <v>500</v>
      </c>
      <c r="F102" s="20">
        <v>750</v>
      </c>
    </row>
    <row r="103" spans="1:6" ht="16.05" customHeight="1" x14ac:dyDescent="0.25">
      <c r="A103" s="32" t="s">
        <v>151</v>
      </c>
      <c r="B103" s="24" t="s">
        <v>169</v>
      </c>
      <c r="C103" s="22" t="s">
        <v>174</v>
      </c>
      <c r="D103" s="25">
        <v>100</v>
      </c>
      <c r="E103" s="31">
        <v>150</v>
      </c>
      <c r="F103" s="25">
        <v>200</v>
      </c>
    </row>
    <row r="104" spans="1:6" ht="18" customHeight="1" x14ac:dyDescent="0.25">
      <c r="A104" s="102" t="s">
        <v>175</v>
      </c>
      <c r="B104" s="98"/>
      <c r="C104" s="98"/>
      <c r="D104" s="98"/>
      <c r="E104" s="98"/>
      <c r="F104" s="98"/>
    </row>
    <row r="105" spans="1:6" ht="16.05" customHeight="1" x14ac:dyDescent="0.25">
      <c r="A105" s="32" t="s">
        <v>151</v>
      </c>
      <c r="B105" s="24" t="s">
        <v>175</v>
      </c>
      <c r="C105" s="22" t="s">
        <v>176</v>
      </c>
      <c r="D105" s="25">
        <v>750</v>
      </c>
      <c r="E105" s="31">
        <v>1000</v>
      </c>
      <c r="F105" s="25">
        <v>1500</v>
      </c>
    </row>
    <row r="106" spans="1:6" ht="16.05" customHeight="1" x14ac:dyDescent="0.25">
      <c r="A106" s="33" t="s">
        <v>151</v>
      </c>
      <c r="B106" s="19" t="s">
        <v>175</v>
      </c>
      <c r="C106" s="17" t="s">
        <v>177</v>
      </c>
      <c r="D106" s="20">
        <v>750</v>
      </c>
      <c r="E106" s="29">
        <v>1000</v>
      </c>
      <c r="F106" s="20">
        <v>1500</v>
      </c>
    </row>
    <row r="107" spans="1:6" ht="16.05" customHeight="1" x14ac:dyDescent="0.25">
      <c r="A107" s="32" t="s">
        <v>151</v>
      </c>
      <c r="B107" s="24" t="s">
        <v>175</v>
      </c>
      <c r="C107" s="22" t="s">
        <v>178</v>
      </c>
      <c r="D107" s="25">
        <v>300</v>
      </c>
      <c r="E107" s="31">
        <v>500</v>
      </c>
      <c r="F107" s="25">
        <v>750</v>
      </c>
    </row>
    <row r="108" spans="1:6" ht="18" customHeight="1" x14ac:dyDescent="0.25">
      <c r="A108" s="102" t="s">
        <v>179</v>
      </c>
      <c r="B108" s="98"/>
      <c r="C108" s="98"/>
      <c r="D108" s="98"/>
      <c r="E108" s="98"/>
      <c r="F108" s="98"/>
    </row>
    <row r="109" spans="1:6" ht="16.05" customHeight="1" x14ac:dyDescent="0.25">
      <c r="A109" s="32" t="s">
        <v>151</v>
      </c>
      <c r="B109" s="24" t="s">
        <v>179</v>
      </c>
      <c r="C109" s="22" t="s">
        <v>180</v>
      </c>
      <c r="D109" s="25">
        <v>100</v>
      </c>
      <c r="E109" s="31">
        <v>150</v>
      </c>
      <c r="F109" s="25">
        <v>200</v>
      </c>
    </row>
    <row r="110" spans="1:6" ht="16.05" customHeight="1" x14ac:dyDescent="0.25">
      <c r="A110" s="33" t="s">
        <v>151</v>
      </c>
      <c r="B110" s="19" t="s">
        <v>179</v>
      </c>
      <c r="C110" s="17" t="s">
        <v>181</v>
      </c>
      <c r="D110" s="20">
        <v>150</v>
      </c>
      <c r="E110" s="29">
        <v>150</v>
      </c>
      <c r="F110" s="20">
        <v>300</v>
      </c>
    </row>
    <row r="111" spans="1:6" ht="18" customHeight="1" x14ac:dyDescent="0.25">
      <c r="A111" s="102" t="s">
        <v>182</v>
      </c>
      <c r="B111" s="98"/>
      <c r="C111" s="98"/>
      <c r="D111" s="98"/>
      <c r="E111" s="98"/>
      <c r="F111" s="98"/>
    </row>
    <row r="112" spans="1:6" ht="16.05" customHeight="1" x14ac:dyDescent="0.25">
      <c r="A112" s="33" t="s">
        <v>151</v>
      </c>
      <c r="B112" s="19" t="s">
        <v>182</v>
      </c>
      <c r="C112" s="17" t="s">
        <v>183</v>
      </c>
      <c r="D112" s="20">
        <v>100</v>
      </c>
      <c r="E112" s="29">
        <v>150</v>
      </c>
      <c r="F112" s="20">
        <v>200</v>
      </c>
    </row>
    <row r="113" spans="1:6" ht="16.05" customHeight="1" x14ac:dyDescent="0.25">
      <c r="A113" s="32" t="s">
        <v>151</v>
      </c>
      <c r="B113" s="24" t="s">
        <v>182</v>
      </c>
      <c r="C113" s="22" t="s">
        <v>184</v>
      </c>
      <c r="D113" s="25">
        <v>150</v>
      </c>
      <c r="E113" s="31">
        <v>150</v>
      </c>
      <c r="F113" s="25">
        <v>300</v>
      </c>
    </row>
    <row r="114" spans="1:6" ht="16.05" customHeight="1" x14ac:dyDescent="0.25">
      <c r="A114" s="33" t="s">
        <v>151</v>
      </c>
      <c r="B114" s="19" t="s">
        <v>182</v>
      </c>
      <c r="C114" s="17" t="s">
        <v>185</v>
      </c>
      <c r="D114" s="20">
        <v>100</v>
      </c>
      <c r="E114" s="29">
        <v>150</v>
      </c>
      <c r="F114" s="20">
        <v>200</v>
      </c>
    </row>
    <row r="115" spans="1:6" ht="16.05" customHeight="1" x14ac:dyDescent="0.25">
      <c r="A115" s="32" t="s">
        <v>151</v>
      </c>
      <c r="B115" s="24" t="s">
        <v>182</v>
      </c>
      <c r="C115" s="22" t="s">
        <v>186</v>
      </c>
      <c r="D115" s="25">
        <v>300</v>
      </c>
      <c r="E115" s="31">
        <v>500</v>
      </c>
      <c r="F115" s="25">
        <v>750</v>
      </c>
    </row>
    <row r="116" spans="1:6" ht="16.05" customHeight="1" x14ac:dyDescent="0.25">
      <c r="A116" s="33" t="s">
        <v>151</v>
      </c>
      <c r="B116" s="19" t="s">
        <v>182</v>
      </c>
      <c r="C116" s="17" t="s">
        <v>187</v>
      </c>
      <c r="D116" s="20">
        <v>75</v>
      </c>
      <c r="E116" s="29">
        <v>100</v>
      </c>
      <c r="F116" s="20">
        <v>150</v>
      </c>
    </row>
    <row r="117" spans="1:6" ht="16.05" customHeight="1" x14ac:dyDescent="0.25">
      <c r="A117" s="32" t="s">
        <v>151</v>
      </c>
      <c r="B117" s="24" t="s">
        <v>182</v>
      </c>
      <c r="C117" s="22" t="s">
        <v>188</v>
      </c>
      <c r="D117" s="25">
        <v>300</v>
      </c>
      <c r="E117" s="31">
        <v>500</v>
      </c>
      <c r="F117" s="25">
        <v>750</v>
      </c>
    </row>
    <row r="118" spans="1:6" ht="16.05" customHeight="1" x14ac:dyDescent="0.25">
      <c r="A118" s="33" t="s">
        <v>151</v>
      </c>
      <c r="B118" s="19" t="s">
        <v>182</v>
      </c>
      <c r="C118" s="17" t="s">
        <v>189</v>
      </c>
      <c r="D118" s="20">
        <v>100</v>
      </c>
      <c r="E118" s="29">
        <v>150</v>
      </c>
      <c r="F118" s="20">
        <v>200</v>
      </c>
    </row>
    <row r="119" spans="1:6" ht="18" customHeight="1" x14ac:dyDescent="0.25">
      <c r="A119" s="102" t="s">
        <v>190</v>
      </c>
      <c r="B119" s="98"/>
      <c r="C119" s="98"/>
      <c r="D119" s="98"/>
      <c r="E119" s="98"/>
      <c r="F119" s="98"/>
    </row>
    <row r="120" spans="1:6" ht="16.05" customHeight="1" x14ac:dyDescent="0.25">
      <c r="A120" s="33" t="s">
        <v>151</v>
      </c>
      <c r="B120" s="19" t="s">
        <v>190</v>
      </c>
      <c r="C120" s="17" t="s">
        <v>191</v>
      </c>
      <c r="D120" s="20">
        <v>100</v>
      </c>
      <c r="E120" s="29">
        <v>150</v>
      </c>
      <c r="F120" s="20">
        <v>200</v>
      </c>
    </row>
    <row r="121" spans="1:6" ht="16.05" customHeight="1" x14ac:dyDescent="0.25">
      <c r="A121" s="32" t="s">
        <v>151</v>
      </c>
      <c r="B121" s="24" t="s">
        <v>190</v>
      </c>
      <c r="C121" s="22" t="s">
        <v>192</v>
      </c>
      <c r="D121" s="25">
        <v>75</v>
      </c>
      <c r="E121" s="31">
        <v>100</v>
      </c>
      <c r="F121" s="25">
        <v>150</v>
      </c>
    </row>
    <row r="122" spans="1:6" ht="16.05" customHeight="1" x14ac:dyDescent="0.25">
      <c r="A122" s="33" t="s">
        <v>151</v>
      </c>
      <c r="B122" s="19" t="s">
        <v>190</v>
      </c>
      <c r="C122" s="17" t="s">
        <v>193</v>
      </c>
      <c r="D122" s="20">
        <v>150</v>
      </c>
      <c r="E122" s="29">
        <v>200</v>
      </c>
      <c r="F122" s="20">
        <v>300</v>
      </c>
    </row>
    <row r="123" spans="1:6" ht="16.05" customHeight="1" x14ac:dyDescent="0.25">
      <c r="A123" s="32" t="s">
        <v>151</v>
      </c>
      <c r="B123" s="24" t="s">
        <v>190</v>
      </c>
      <c r="C123" s="22" t="s">
        <v>194</v>
      </c>
      <c r="D123" s="25">
        <v>100</v>
      </c>
      <c r="E123" s="31">
        <v>150</v>
      </c>
      <c r="F123" s="25">
        <v>200</v>
      </c>
    </row>
    <row r="124" spans="1:6" ht="16.05" customHeight="1" x14ac:dyDescent="0.25">
      <c r="A124" s="33" t="s">
        <v>151</v>
      </c>
      <c r="B124" s="19" t="s">
        <v>190</v>
      </c>
      <c r="C124" s="17" t="s">
        <v>195</v>
      </c>
      <c r="D124" s="20">
        <v>150</v>
      </c>
      <c r="E124" s="29">
        <v>200</v>
      </c>
      <c r="F124" s="20">
        <v>300</v>
      </c>
    </row>
    <row r="125" spans="1:6" ht="18" customHeight="1" x14ac:dyDescent="0.25">
      <c r="A125" s="102" t="s">
        <v>196</v>
      </c>
      <c r="B125" s="98"/>
      <c r="C125" s="98"/>
      <c r="D125" s="98"/>
      <c r="E125" s="98"/>
      <c r="F125" s="98"/>
    </row>
    <row r="126" spans="1:6" ht="16.05" customHeight="1" x14ac:dyDescent="0.25">
      <c r="A126" s="33" t="s">
        <v>151</v>
      </c>
      <c r="B126" s="19" t="s">
        <v>196</v>
      </c>
      <c r="C126" s="17" t="s">
        <v>197</v>
      </c>
      <c r="D126" s="20">
        <v>100</v>
      </c>
      <c r="E126" s="29">
        <v>150</v>
      </c>
      <c r="F126" s="20">
        <v>200</v>
      </c>
    </row>
    <row r="127" spans="1:6" ht="18" customHeight="1" x14ac:dyDescent="0.25">
      <c r="A127" s="102" t="s">
        <v>198</v>
      </c>
      <c r="B127" s="98"/>
      <c r="C127" s="98"/>
      <c r="D127" s="98"/>
      <c r="E127" s="98"/>
      <c r="F127" s="98"/>
    </row>
    <row r="128" spans="1:6" ht="16.05" customHeight="1" x14ac:dyDescent="0.25">
      <c r="A128" s="33" t="s">
        <v>151</v>
      </c>
      <c r="B128" s="19" t="s">
        <v>198</v>
      </c>
      <c r="C128" s="17" t="s">
        <v>199</v>
      </c>
      <c r="D128" s="20">
        <v>75</v>
      </c>
      <c r="E128" s="29">
        <v>100</v>
      </c>
      <c r="F128" s="20">
        <v>150</v>
      </c>
    </row>
    <row r="129" spans="1:6" ht="16.05" customHeight="1" x14ac:dyDescent="0.25">
      <c r="A129" s="32" t="s">
        <v>151</v>
      </c>
      <c r="B129" s="24" t="s">
        <v>198</v>
      </c>
      <c r="C129" s="22" t="s">
        <v>200</v>
      </c>
      <c r="D129" s="25">
        <v>150</v>
      </c>
      <c r="E129" s="31">
        <v>200</v>
      </c>
      <c r="F129" s="25">
        <v>300</v>
      </c>
    </row>
    <row r="130" spans="1:6" ht="16.05" customHeight="1" x14ac:dyDescent="0.25">
      <c r="A130" s="33" t="s">
        <v>151</v>
      </c>
      <c r="B130" s="19" t="s">
        <v>198</v>
      </c>
      <c r="C130" s="17" t="s">
        <v>201</v>
      </c>
      <c r="D130" s="20">
        <v>150</v>
      </c>
      <c r="E130" s="29">
        <v>200</v>
      </c>
      <c r="F130" s="20">
        <v>300</v>
      </c>
    </row>
    <row r="131" spans="1:6" ht="18" customHeight="1" x14ac:dyDescent="0.25">
      <c r="A131" s="102" t="s">
        <v>202</v>
      </c>
      <c r="B131" s="98"/>
      <c r="C131" s="98"/>
      <c r="D131" s="98"/>
      <c r="E131" s="98"/>
      <c r="F131" s="98"/>
    </row>
    <row r="132" spans="1:6" ht="16.05" customHeight="1" x14ac:dyDescent="0.25">
      <c r="A132" s="33" t="s">
        <v>151</v>
      </c>
      <c r="B132" s="19" t="s">
        <v>202</v>
      </c>
      <c r="C132" s="17" t="s">
        <v>203</v>
      </c>
      <c r="D132" s="20">
        <v>300</v>
      </c>
      <c r="E132" s="29">
        <v>500</v>
      </c>
      <c r="F132" s="20">
        <v>750</v>
      </c>
    </row>
    <row r="133" spans="1:6" ht="18" customHeight="1" x14ac:dyDescent="0.25">
      <c r="A133" s="102" t="s">
        <v>204</v>
      </c>
      <c r="B133" s="98"/>
      <c r="C133" s="98"/>
      <c r="D133" s="98"/>
      <c r="E133" s="98"/>
      <c r="F133" s="98"/>
    </row>
    <row r="134" spans="1:6" ht="16.05" customHeight="1" x14ac:dyDescent="0.25">
      <c r="A134" s="33" t="s">
        <v>151</v>
      </c>
      <c r="B134" s="19" t="s">
        <v>204</v>
      </c>
      <c r="C134" s="17" t="s">
        <v>205</v>
      </c>
      <c r="D134" s="20">
        <v>75</v>
      </c>
      <c r="E134" s="29">
        <v>100</v>
      </c>
      <c r="F134" s="20">
        <v>150</v>
      </c>
    </row>
    <row r="135" spans="1:6" ht="16.05" customHeight="1" x14ac:dyDescent="0.25">
      <c r="A135" s="32" t="s">
        <v>151</v>
      </c>
      <c r="B135" s="24" t="s">
        <v>204</v>
      </c>
      <c r="C135" s="22" t="s">
        <v>206</v>
      </c>
      <c r="D135" s="25">
        <v>300</v>
      </c>
      <c r="E135" s="31">
        <v>500</v>
      </c>
      <c r="F135" s="25">
        <v>750</v>
      </c>
    </row>
    <row r="136" spans="1:6" ht="18" customHeight="1" x14ac:dyDescent="0.25">
      <c r="A136" s="102" t="s">
        <v>207</v>
      </c>
      <c r="B136" s="98"/>
      <c r="C136" s="98"/>
      <c r="D136" s="98"/>
      <c r="E136" s="98"/>
      <c r="F136" s="98"/>
    </row>
    <row r="137" spans="1:6" ht="16.05" customHeight="1" x14ac:dyDescent="0.25">
      <c r="A137" s="32" t="s">
        <v>151</v>
      </c>
      <c r="B137" s="24" t="s">
        <v>207</v>
      </c>
      <c r="C137" s="22" t="s">
        <v>208</v>
      </c>
      <c r="D137" s="25">
        <v>100</v>
      </c>
      <c r="E137" s="31">
        <v>150</v>
      </c>
      <c r="F137" s="25">
        <v>200</v>
      </c>
    </row>
    <row r="138" spans="1:6" ht="16.05" customHeight="1" x14ac:dyDescent="0.25">
      <c r="A138" s="33" t="s">
        <v>151</v>
      </c>
      <c r="B138" s="19" t="s">
        <v>207</v>
      </c>
      <c r="C138" s="17" t="s">
        <v>209</v>
      </c>
      <c r="D138" s="20">
        <v>100</v>
      </c>
      <c r="E138" s="29">
        <v>150</v>
      </c>
      <c r="F138" s="20">
        <v>200</v>
      </c>
    </row>
    <row r="139" spans="1:6" ht="16.05" customHeight="1" x14ac:dyDescent="0.25">
      <c r="A139" s="32" t="s">
        <v>151</v>
      </c>
      <c r="B139" s="24" t="s">
        <v>207</v>
      </c>
      <c r="C139" s="22" t="s">
        <v>210</v>
      </c>
      <c r="D139" s="25">
        <v>100</v>
      </c>
      <c r="E139" s="31">
        <v>150</v>
      </c>
      <c r="F139" s="25">
        <v>200</v>
      </c>
    </row>
    <row r="140" spans="1:6" ht="16.05" customHeight="1" x14ac:dyDescent="0.25">
      <c r="A140" s="33" t="s">
        <v>151</v>
      </c>
      <c r="B140" s="19" t="s">
        <v>207</v>
      </c>
      <c r="C140" s="17" t="s">
        <v>211</v>
      </c>
      <c r="D140" s="20">
        <v>75</v>
      </c>
      <c r="E140" s="29">
        <v>100</v>
      </c>
      <c r="F140" s="20">
        <v>150</v>
      </c>
    </row>
    <row r="141" spans="1:6" ht="16.05" customHeight="1" x14ac:dyDescent="0.25">
      <c r="A141" s="32" t="s">
        <v>151</v>
      </c>
      <c r="B141" s="24" t="s">
        <v>207</v>
      </c>
      <c r="C141" s="22" t="s">
        <v>212</v>
      </c>
      <c r="D141" s="25">
        <v>100</v>
      </c>
      <c r="E141" s="31">
        <v>150</v>
      </c>
      <c r="F141" s="25">
        <v>200</v>
      </c>
    </row>
  </sheetData>
  <mergeCells count="29">
    <mergeCell ref="A1:F1"/>
    <mergeCell ref="A45:F45"/>
    <mergeCell ref="A70:F70"/>
    <mergeCell ref="A79:F79"/>
    <mergeCell ref="A119:F119"/>
    <mergeCell ref="A2:F2"/>
    <mergeCell ref="A85:F85"/>
    <mergeCell ref="A42:F42"/>
    <mergeCell ref="A5:F5"/>
    <mergeCell ref="A32:F32"/>
    <mergeCell ref="A4:F4"/>
    <mergeCell ref="A20:F20"/>
    <mergeCell ref="A38:F38"/>
    <mergeCell ref="A28:F28"/>
    <mergeCell ref="A59:F59"/>
    <mergeCell ref="A51:F51"/>
    <mergeCell ref="A108:F108"/>
    <mergeCell ref="A80:F80"/>
    <mergeCell ref="A75:F75"/>
    <mergeCell ref="A133:F133"/>
    <mergeCell ref="A136:F136"/>
    <mergeCell ref="A104:F104"/>
    <mergeCell ref="A131:F131"/>
    <mergeCell ref="A96:F96"/>
    <mergeCell ref="A125:F125"/>
    <mergeCell ref="A93:F93"/>
    <mergeCell ref="A111:F111"/>
    <mergeCell ref="A127:F127"/>
    <mergeCell ref="A98:F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showGridLines="0" topLeftCell="A7" workbookViewId="0">
      <selection activeCell="C12" sqref="C12"/>
    </sheetView>
  </sheetViews>
  <sheetFormatPr defaultRowHeight="13.2" x14ac:dyDescent="0.25"/>
  <cols>
    <col min="1" max="1" width="32" customWidth="1"/>
    <col min="2" max="2" width="22" customWidth="1"/>
    <col min="3" max="3" width="50" customWidth="1"/>
  </cols>
  <sheetData>
    <row r="1" spans="1:8" ht="28.05" customHeight="1" x14ac:dyDescent="0.25">
      <c r="A1" s="108" t="s">
        <v>213</v>
      </c>
      <c r="B1" s="98"/>
      <c r="C1" s="98"/>
      <c r="D1" s="98"/>
      <c r="E1" s="98"/>
      <c r="F1" s="98"/>
      <c r="G1" s="98"/>
      <c r="H1" s="98"/>
    </row>
    <row r="3" spans="1:8" ht="22.05" customHeight="1" x14ac:dyDescent="0.25">
      <c r="A3" s="107" t="s">
        <v>214</v>
      </c>
      <c r="B3" s="98"/>
      <c r="C3" s="98"/>
      <c r="D3" s="98"/>
      <c r="E3" s="98"/>
      <c r="F3" s="98"/>
      <c r="G3" s="98"/>
      <c r="H3" s="98"/>
    </row>
    <row r="4" spans="1:8" ht="19.95" customHeight="1" x14ac:dyDescent="0.25">
      <c r="A4" s="16" t="s">
        <v>215</v>
      </c>
      <c r="B4" s="16" t="s">
        <v>43</v>
      </c>
      <c r="C4" s="16" t="s">
        <v>1</v>
      </c>
    </row>
    <row r="5" spans="1:8" ht="18" customHeight="1" x14ac:dyDescent="0.25">
      <c r="A5" s="62" t="s">
        <v>216</v>
      </c>
      <c r="B5" s="63">
        <v>0.9</v>
      </c>
      <c r="C5" s="64" t="s">
        <v>217</v>
      </c>
    </row>
    <row r="6" spans="1:8" ht="18" customHeight="1" x14ac:dyDescent="0.25">
      <c r="A6" s="65" t="s">
        <v>218</v>
      </c>
      <c r="B6" s="66">
        <v>0.8</v>
      </c>
      <c r="C6" s="67" t="s">
        <v>219</v>
      </c>
    </row>
    <row r="7" spans="1:8" ht="18" customHeight="1" x14ac:dyDescent="0.25">
      <c r="A7" s="62" t="s">
        <v>220</v>
      </c>
      <c r="B7" s="63">
        <v>0.6</v>
      </c>
      <c r="C7" s="64" t="s">
        <v>221</v>
      </c>
    </row>
    <row r="9" spans="1:8" ht="22.05" customHeight="1" x14ac:dyDescent="0.25">
      <c r="A9" s="107" t="s">
        <v>222</v>
      </c>
      <c r="B9" s="98"/>
      <c r="C9" s="98"/>
      <c r="D9" s="98"/>
      <c r="E9" s="98"/>
      <c r="F9" s="98"/>
      <c r="G9" s="98"/>
      <c r="H9" s="98"/>
    </row>
    <row r="10" spans="1:8" ht="19.95" customHeight="1" x14ac:dyDescent="0.25">
      <c r="A10" s="16" t="s">
        <v>215</v>
      </c>
      <c r="B10" s="16" t="s">
        <v>223</v>
      </c>
      <c r="C10" s="16" t="s">
        <v>224</v>
      </c>
    </row>
    <row r="11" spans="1:8" ht="18" customHeight="1" x14ac:dyDescent="0.25">
      <c r="A11" s="17" t="s">
        <v>225</v>
      </c>
      <c r="B11" s="68">
        <v>0.8</v>
      </c>
      <c r="C11" s="64" t="s">
        <v>226</v>
      </c>
    </row>
    <row r="12" spans="1:8" ht="18" customHeight="1" x14ac:dyDescent="0.25">
      <c r="A12" s="22" t="s">
        <v>227</v>
      </c>
      <c r="B12" s="69">
        <v>0.7</v>
      </c>
      <c r="C12" s="67" t="s">
        <v>228</v>
      </c>
    </row>
    <row r="13" spans="1:8" ht="18" customHeight="1" x14ac:dyDescent="0.25">
      <c r="A13" s="17" t="s">
        <v>229</v>
      </c>
      <c r="B13" s="68">
        <v>0.6</v>
      </c>
      <c r="C13" s="64" t="s">
        <v>230</v>
      </c>
    </row>
    <row r="14" spans="1:8" ht="18" customHeight="1" x14ac:dyDescent="0.25">
      <c r="A14" s="22" t="s">
        <v>231</v>
      </c>
      <c r="B14" s="69">
        <v>0.65</v>
      </c>
      <c r="C14" s="67" t="s">
        <v>232</v>
      </c>
    </row>
    <row r="15" spans="1:8" ht="18" customHeight="1" x14ac:dyDescent="0.25">
      <c r="A15" s="17" t="s">
        <v>233</v>
      </c>
      <c r="B15" s="68">
        <v>0.75</v>
      </c>
      <c r="C15" s="64" t="s">
        <v>234</v>
      </c>
    </row>
    <row r="16" spans="1:8" ht="18" customHeight="1" x14ac:dyDescent="0.25">
      <c r="A16" s="22" t="s">
        <v>235</v>
      </c>
      <c r="B16" s="69">
        <v>0.75</v>
      </c>
      <c r="C16" s="67" t="s">
        <v>236</v>
      </c>
    </row>
    <row r="17" spans="1:8" ht="18" customHeight="1" x14ac:dyDescent="0.25">
      <c r="A17" s="17" t="s">
        <v>237</v>
      </c>
      <c r="B17" s="68">
        <v>0.55000000000000004</v>
      </c>
      <c r="C17" s="64" t="s">
        <v>238</v>
      </c>
    </row>
    <row r="19" spans="1:8" ht="22.05" customHeight="1" x14ac:dyDescent="0.25">
      <c r="A19" s="107" t="s">
        <v>239</v>
      </c>
      <c r="B19" s="98"/>
      <c r="C19" s="98"/>
      <c r="D19" s="98"/>
      <c r="E19" s="98"/>
      <c r="F19" s="98"/>
      <c r="G19" s="98"/>
      <c r="H19" s="98"/>
    </row>
    <row r="20" spans="1:8" ht="24" customHeight="1" x14ac:dyDescent="0.25">
      <c r="A20" s="105" t="s">
        <v>240</v>
      </c>
      <c r="B20" s="98"/>
      <c r="C20" s="98"/>
      <c r="D20" s="98"/>
      <c r="E20" s="98"/>
      <c r="F20" s="98"/>
      <c r="G20" s="98"/>
      <c r="H20" s="98"/>
    </row>
    <row r="21" spans="1:8" ht="19.95" customHeight="1" x14ac:dyDescent="0.25">
      <c r="A21" s="16" t="s">
        <v>241</v>
      </c>
      <c r="B21" s="16" t="s">
        <v>242</v>
      </c>
      <c r="C21" s="16" t="s">
        <v>243</v>
      </c>
      <c r="D21" s="16" t="s">
        <v>244</v>
      </c>
    </row>
    <row r="22" spans="1:8" ht="19.95" customHeight="1" x14ac:dyDescent="0.25">
      <c r="A22" s="62" t="s">
        <v>245</v>
      </c>
      <c r="B22" s="20" t="s">
        <v>246</v>
      </c>
      <c r="C22" s="20" t="s">
        <v>247</v>
      </c>
      <c r="D22" s="20" t="s">
        <v>248</v>
      </c>
    </row>
    <row r="23" spans="1:8" ht="19.95" customHeight="1" x14ac:dyDescent="0.25">
      <c r="A23" s="65" t="s">
        <v>249</v>
      </c>
      <c r="B23" s="25" t="s">
        <v>250</v>
      </c>
      <c r="C23" s="25" t="s">
        <v>251</v>
      </c>
      <c r="D23" s="25" t="s">
        <v>252</v>
      </c>
    </row>
    <row r="24" spans="1:8" ht="19.95" customHeight="1" x14ac:dyDescent="0.25">
      <c r="A24" s="62" t="s">
        <v>253</v>
      </c>
      <c r="B24" s="20" t="s">
        <v>254</v>
      </c>
      <c r="C24" s="20" t="s">
        <v>255</v>
      </c>
      <c r="D24" s="20" t="s">
        <v>256</v>
      </c>
    </row>
    <row r="25" spans="1:8" ht="10.050000000000001" customHeight="1" x14ac:dyDescent="0.25"/>
    <row r="26" spans="1:8" ht="19.95" customHeight="1" x14ac:dyDescent="0.25">
      <c r="A26" s="109" t="s">
        <v>257</v>
      </c>
      <c r="B26" s="98"/>
      <c r="C26" s="98"/>
      <c r="D26" s="98"/>
    </row>
    <row r="27" spans="1:8" ht="18" customHeight="1" x14ac:dyDescent="0.25">
      <c r="A27" s="70" t="s">
        <v>258</v>
      </c>
      <c r="C27" s="71"/>
    </row>
    <row r="28" spans="1:8" ht="18" customHeight="1" x14ac:dyDescent="0.25">
      <c r="A28" s="70" t="s">
        <v>259</v>
      </c>
      <c r="C28" s="71"/>
    </row>
    <row r="29" spans="1:8" ht="18" customHeight="1" x14ac:dyDescent="0.25">
      <c r="A29" s="70" t="s">
        <v>260</v>
      </c>
      <c r="C29" s="71"/>
    </row>
    <row r="30" spans="1:8" ht="19.95" customHeight="1" x14ac:dyDescent="0.25">
      <c r="A30" s="70" t="s">
        <v>261</v>
      </c>
      <c r="C30" s="72">
        <f>C27+C28+C29</f>
        <v>0</v>
      </c>
    </row>
    <row r="31" spans="1:8" ht="19.95" customHeight="1" x14ac:dyDescent="0.25">
      <c r="A31" s="70" t="s">
        <v>262</v>
      </c>
      <c r="C31" s="73" t="str">
        <f>IF(C30&lt;=-2,"MINIMA",IF(C30&gt;=2,"MAXIMA","MEDIA"))</f>
        <v>MEDIA</v>
      </c>
    </row>
    <row r="33" spans="1:8" ht="22.05" customHeight="1" x14ac:dyDescent="0.25">
      <c r="A33" s="107" t="s">
        <v>263</v>
      </c>
      <c r="B33" s="98"/>
      <c r="C33" s="98"/>
      <c r="D33" s="98"/>
      <c r="E33" s="98"/>
      <c r="F33" s="98"/>
      <c r="G33" s="98"/>
      <c r="H33" s="98"/>
    </row>
    <row r="34" spans="1:8" ht="19.95" customHeight="1" x14ac:dyDescent="0.25">
      <c r="A34" s="16" t="s">
        <v>264</v>
      </c>
      <c r="B34" s="16" t="s">
        <v>265</v>
      </c>
      <c r="C34" s="16" t="s">
        <v>266</v>
      </c>
    </row>
    <row r="35" spans="1:8" ht="18" customHeight="1" x14ac:dyDescent="0.25">
      <c r="A35" s="29" t="s">
        <v>267</v>
      </c>
      <c r="B35" s="29" t="s">
        <v>268</v>
      </c>
      <c r="C35" s="17" t="s">
        <v>269</v>
      </c>
    </row>
    <row r="36" spans="1:8" ht="18" customHeight="1" x14ac:dyDescent="0.25">
      <c r="A36" s="31" t="s">
        <v>267</v>
      </c>
      <c r="B36" s="31" t="s">
        <v>270</v>
      </c>
      <c r="C36" s="22" t="s">
        <v>271</v>
      </c>
    </row>
    <row r="37" spans="1:8" ht="18" customHeight="1" x14ac:dyDescent="0.25">
      <c r="A37" s="29" t="s">
        <v>267</v>
      </c>
      <c r="B37" s="29" t="s">
        <v>272</v>
      </c>
      <c r="C37" s="17" t="s">
        <v>273</v>
      </c>
    </row>
    <row r="38" spans="1:8" ht="18" customHeight="1" x14ac:dyDescent="0.25">
      <c r="A38" s="31" t="s">
        <v>267</v>
      </c>
      <c r="B38" s="31" t="s">
        <v>274</v>
      </c>
      <c r="C38" s="22" t="s">
        <v>275</v>
      </c>
    </row>
    <row r="39" spans="1:8" ht="18" customHeight="1" x14ac:dyDescent="0.25">
      <c r="A39" s="29" t="s">
        <v>276</v>
      </c>
      <c r="B39" s="29" t="s">
        <v>277</v>
      </c>
      <c r="C39" s="17" t="s">
        <v>278</v>
      </c>
    </row>
    <row r="40" spans="1:8" ht="18" customHeight="1" x14ac:dyDescent="0.25">
      <c r="A40" s="31" t="s">
        <v>276</v>
      </c>
      <c r="B40" s="31" t="s">
        <v>279</v>
      </c>
      <c r="C40" s="22" t="s">
        <v>280</v>
      </c>
    </row>
    <row r="41" spans="1:8" ht="18" customHeight="1" x14ac:dyDescent="0.25">
      <c r="A41" s="29" t="s">
        <v>281</v>
      </c>
      <c r="B41" s="29" t="s">
        <v>282</v>
      </c>
      <c r="C41" s="17" t="s">
        <v>283</v>
      </c>
    </row>
    <row r="42" spans="1:8" ht="18" customHeight="1" x14ac:dyDescent="0.25">
      <c r="A42" s="31" t="s">
        <v>281</v>
      </c>
      <c r="B42" s="31" t="s">
        <v>284</v>
      </c>
      <c r="C42" s="22" t="s">
        <v>285</v>
      </c>
    </row>
    <row r="43" spans="1:8" ht="18" customHeight="1" x14ac:dyDescent="0.25">
      <c r="A43" s="29" t="s">
        <v>281</v>
      </c>
      <c r="B43" s="29" t="s">
        <v>286</v>
      </c>
      <c r="C43" s="17" t="s">
        <v>287</v>
      </c>
    </row>
  </sheetData>
  <mergeCells count="7">
    <mergeCell ref="A33:H33"/>
    <mergeCell ref="A1:H1"/>
    <mergeCell ref="A9:H9"/>
    <mergeCell ref="A3:H3"/>
    <mergeCell ref="A20:H20"/>
    <mergeCell ref="A26:D26"/>
    <mergeCell ref="A19:H19"/>
  </mergeCells>
  <dataValidations disablePrompts="1" count="1">
    <dataValidation type="list" allowBlank="1" sqref="C27:C29" xr:uid="{00000000-0002-0000-0300-000000000000}">
      <formula1>"-1,0,1"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showGridLines="0" workbookViewId="0">
      <selection activeCell="H3" sqref="H3:H62"/>
    </sheetView>
  </sheetViews>
  <sheetFormatPr defaultRowHeight="13.2" x14ac:dyDescent="0.25"/>
  <cols>
    <col min="1" max="1" width="36" customWidth="1"/>
    <col min="2" max="2" width="58" customWidth="1"/>
    <col min="3" max="3" width="46" customWidth="1"/>
    <col min="4" max="4" width="1.88671875" customWidth="1"/>
    <col min="5" max="5" width="1.44140625" customWidth="1"/>
    <col min="6" max="6" width="1" customWidth="1"/>
    <col min="7" max="7" width="2.21875" customWidth="1"/>
  </cols>
  <sheetData>
    <row r="1" spans="1:8" ht="31.95" customHeight="1" x14ac:dyDescent="0.25">
      <c r="A1" s="111" t="s">
        <v>288</v>
      </c>
      <c r="B1" s="98"/>
      <c r="C1" s="98"/>
      <c r="D1" s="98"/>
      <c r="E1" s="98"/>
      <c r="F1" s="98"/>
    </row>
    <row r="3" spans="1:8" ht="22.05" customHeight="1" x14ac:dyDescent="0.25">
      <c r="A3" s="110" t="s">
        <v>289</v>
      </c>
      <c r="B3" s="98"/>
      <c r="C3" s="98"/>
      <c r="D3" s="98"/>
      <c r="E3" s="98"/>
      <c r="F3" s="98"/>
      <c r="H3" s="90" t="s">
        <v>374</v>
      </c>
    </row>
    <row r="4" spans="1:8" ht="19.95" customHeight="1" x14ac:dyDescent="0.25">
      <c r="A4" s="74" t="s">
        <v>290</v>
      </c>
      <c r="B4" s="75" t="s">
        <v>291</v>
      </c>
    </row>
    <row r="5" spans="1:8" ht="19.95" customHeight="1" x14ac:dyDescent="0.25">
      <c r="A5" s="74" t="s">
        <v>292</v>
      </c>
      <c r="B5" s="75" t="s">
        <v>293</v>
      </c>
      <c r="H5" s="91" t="s">
        <v>375</v>
      </c>
    </row>
    <row r="6" spans="1:8" ht="19.95" customHeight="1" x14ac:dyDescent="0.25">
      <c r="A6" s="74" t="s">
        <v>294</v>
      </c>
      <c r="B6" s="75" t="s">
        <v>295</v>
      </c>
    </row>
    <row r="7" spans="1:8" ht="19.95" customHeight="1" x14ac:dyDescent="0.35">
      <c r="A7" s="74" t="s">
        <v>296</v>
      </c>
      <c r="B7" s="75" t="s">
        <v>297</v>
      </c>
      <c r="H7" s="92" t="s">
        <v>376</v>
      </c>
    </row>
    <row r="8" spans="1:8" ht="7.95" customHeight="1" x14ac:dyDescent="0.25"/>
    <row r="9" spans="1:8" ht="22.05" customHeight="1" x14ac:dyDescent="0.25">
      <c r="A9" s="110" t="s">
        <v>298</v>
      </c>
      <c r="B9" s="98"/>
      <c r="C9" s="98"/>
      <c r="D9" s="98"/>
      <c r="E9" s="98"/>
      <c r="F9" s="98"/>
    </row>
    <row r="10" spans="1:8" ht="19.95" customHeight="1" x14ac:dyDescent="0.25">
      <c r="A10" s="76" t="s">
        <v>299</v>
      </c>
      <c r="B10" s="22" t="s">
        <v>300</v>
      </c>
    </row>
    <row r="11" spans="1:8" ht="30" customHeight="1" x14ac:dyDescent="0.25">
      <c r="A11" s="76" t="s">
        <v>301</v>
      </c>
      <c r="B11" s="22" t="s">
        <v>302</v>
      </c>
      <c r="C11" s="77" t="s">
        <v>303</v>
      </c>
      <c r="H11" s="93" t="s">
        <v>377</v>
      </c>
    </row>
    <row r="12" spans="1:8" ht="19.95" customHeight="1" x14ac:dyDescent="0.25">
      <c r="A12" s="76" t="s">
        <v>304</v>
      </c>
      <c r="B12" s="22" t="s">
        <v>305</v>
      </c>
    </row>
    <row r="13" spans="1:8" ht="19.95" customHeight="1" x14ac:dyDescent="0.25">
      <c r="A13" s="76" t="s">
        <v>306</v>
      </c>
      <c r="B13" s="22" t="s">
        <v>307</v>
      </c>
      <c r="H13" s="94" t="s">
        <v>378</v>
      </c>
    </row>
    <row r="14" spans="1:8" ht="30" customHeight="1" x14ac:dyDescent="0.25">
      <c r="A14" s="76" t="s">
        <v>308</v>
      </c>
      <c r="B14" s="22" t="s">
        <v>309</v>
      </c>
      <c r="C14" s="77" t="s">
        <v>310</v>
      </c>
      <c r="H14" s="95"/>
    </row>
    <row r="15" spans="1:8" ht="19.95" customHeight="1" x14ac:dyDescent="0.25">
      <c r="A15" s="76" t="s">
        <v>311</v>
      </c>
      <c r="B15" s="22" t="s">
        <v>312</v>
      </c>
      <c r="H15" s="96" t="s">
        <v>379</v>
      </c>
    </row>
    <row r="16" spans="1:8" ht="19.95" customHeight="1" x14ac:dyDescent="0.25">
      <c r="A16" s="76" t="s">
        <v>313</v>
      </c>
      <c r="B16" s="22" t="s">
        <v>314</v>
      </c>
      <c r="H16" s="96" t="s">
        <v>380</v>
      </c>
    </row>
    <row r="17" spans="1:8" ht="30" customHeight="1" x14ac:dyDescent="0.25">
      <c r="A17" s="76" t="s">
        <v>315</v>
      </c>
      <c r="B17" s="22" t="s">
        <v>316</v>
      </c>
      <c r="C17" s="77" t="s">
        <v>317</v>
      </c>
    </row>
    <row r="18" spans="1:8" ht="19.95" customHeight="1" x14ac:dyDescent="0.25">
      <c r="A18" s="76" t="s">
        <v>318</v>
      </c>
      <c r="B18" s="22" t="s">
        <v>319</v>
      </c>
    </row>
    <row r="19" spans="1:8" ht="19.95" customHeight="1" x14ac:dyDescent="0.25">
      <c r="A19" s="76" t="s">
        <v>320</v>
      </c>
      <c r="B19" s="22" t="s">
        <v>321</v>
      </c>
    </row>
    <row r="20" spans="1:8" ht="7.95" customHeight="1" x14ac:dyDescent="0.25">
      <c r="H20" s="93" t="s">
        <v>381</v>
      </c>
    </row>
    <row r="21" spans="1:8" ht="22.05" customHeight="1" x14ac:dyDescent="0.25">
      <c r="A21" s="110" t="s">
        <v>322</v>
      </c>
      <c r="B21" s="98"/>
      <c r="C21" s="98"/>
      <c r="D21" s="98"/>
      <c r="E21" s="98"/>
      <c r="F21" s="98"/>
    </row>
    <row r="22" spans="1:8" ht="19.95" customHeight="1" x14ac:dyDescent="0.35">
      <c r="A22" s="76" t="s">
        <v>323</v>
      </c>
      <c r="B22" s="22" t="s">
        <v>324</v>
      </c>
      <c r="H22" s="92" t="s">
        <v>382</v>
      </c>
    </row>
    <row r="23" spans="1:8" ht="19.95" customHeight="1" x14ac:dyDescent="0.25">
      <c r="A23" s="76"/>
      <c r="B23" s="22" t="s">
        <v>325</v>
      </c>
    </row>
    <row r="24" spans="1:8" ht="19.95" customHeight="1" x14ac:dyDescent="0.35">
      <c r="A24" s="76"/>
      <c r="B24" s="22" t="s">
        <v>326</v>
      </c>
      <c r="H24" s="92" t="s">
        <v>383</v>
      </c>
    </row>
    <row r="25" spans="1:8" ht="19.95" customHeight="1" x14ac:dyDescent="0.25">
      <c r="A25" s="76"/>
      <c r="B25" s="22" t="s">
        <v>327</v>
      </c>
    </row>
    <row r="26" spans="1:8" ht="30" customHeight="1" x14ac:dyDescent="0.35">
      <c r="A26" s="76"/>
      <c r="B26" s="22" t="s">
        <v>328</v>
      </c>
      <c r="C26" s="77" t="s">
        <v>329</v>
      </c>
      <c r="H26" s="92" t="s">
        <v>384</v>
      </c>
    </row>
    <row r="27" spans="1:8" ht="7.95" customHeight="1" x14ac:dyDescent="0.25">
      <c r="H27" s="95"/>
    </row>
    <row r="28" spans="1:8" ht="22.05" customHeight="1" x14ac:dyDescent="0.25">
      <c r="A28" s="110" t="s">
        <v>330</v>
      </c>
      <c r="B28" s="98"/>
      <c r="C28" s="98"/>
      <c r="D28" s="98"/>
      <c r="E28" s="98"/>
      <c r="F28" s="98"/>
      <c r="H28" s="96" t="s">
        <v>385</v>
      </c>
    </row>
    <row r="29" spans="1:8" ht="19.95" customHeight="1" x14ac:dyDescent="0.25">
      <c r="A29" s="76"/>
      <c r="B29" s="22" t="s">
        <v>331</v>
      </c>
      <c r="H29" s="96" t="s">
        <v>386</v>
      </c>
    </row>
    <row r="30" spans="1:8" ht="19.95" customHeight="1" x14ac:dyDescent="0.25">
      <c r="A30" s="76"/>
      <c r="B30" s="22" t="s">
        <v>332</v>
      </c>
    </row>
    <row r="31" spans="1:8" ht="19.95" customHeight="1" x14ac:dyDescent="0.35">
      <c r="A31" s="76"/>
      <c r="B31" s="22" t="s">
        <v>333</v>
      </c>
      <c r="H31" s="92" t="s">
        <v>387</v>
      </c>
    </row>
    <row r="32" spans="1:8" ht="30" customHeight="1" x14ac:dyDescent="0.25">
      <c r="A32" s="76"/>
      <c r="B32" s="22" t="s">
        <v>334</v>
      </c>
      <c r="C32" s="77" t="s">
        <v>335</v>
      </c>
    </row>
    <row r="33" spans="1:8" ht="7.95" customHeight="1" x14ac:dyDescent="0.35">
      <c r="H33" s="92" t="s">
        <v>388</v>
      </c>
    </row>
    <row r="34" spans="1:8" ht="22.05" customHeight="1" x14ac:dyDescent="0.25">
      <c r="A34" s="110" t="s">
        <v>336</v>
      </c>
      <c r="B34" s="98"/>
      <c r="C34" s="98"/>
      <c r="D34" s="98"/>
      <c r="E34" s="98"/>
      <c r="F34" s="98"/>
    </row>
    <row r="35" spans="1:8" ht="19.95" customHeight="1" x14ac:dyDescent="0.35">
      <c r="A35" s="78" t="s">
        <v>337</v>
      </c>
      <c r="B35" s="17" t="s">
        <v>338</v>
      </c>
      <c r="H35" s="92" t="s">
        <v>389</v>
      </c>
    </row>
    <row r="36" spans="1:8" ht="19.95" customHeight="1" x14ac:dyDescent="0.25">
      <c r="A36" s="78" t="s">
        <v>339</v>
      </c>
      <c r="B36" s="17" t="s">
        <v>340</v>
      </c>
    </row>
    <row r="37" spans="1:8" ht="19.95" customHeight="1" x14ac:dyDescent="0.35">
      <c r="A37" s="78" t="s">
        <v>341</v>
      </c>
      <c r="B37" s="17" t="s">
        <v>342</v>
      </c>
      <c r="H37" s="92" t="s">
        <v>390</v>
      </c>
    </row>
    <row r="38" spans="1:8" ht="19.95" customHeight="1" x14ac:dyDescent="0.25">
      <c r="A38" s="78" t="s">
        <v>343</v>
      </c>
      <c r="B38" s="17" t="s">
        <v>344</v>
      </c>
    </row>
    <row r="39" spans="1:8" ht="19.95" customHeight="1" x14ac:dyDescent="0.25">
      <c r="A39" s="78" t="s">
        <v>345</v>
      </c>
      <c r="B39" s="17" t="s">
        <v>342</v>
      </c>
    </row>
    <row r="40" spans="1:8" ht="19.95" customHeight="1" x14ac:dyDescent="0.25">
      <c r="A40" s="78" t="s">
        <v>346</v>
      </c>
      <c r="B40" s="17" t="s">
        <v>347</v>
      </c>
    </row>
    <row r="41" spans="1:8" ht="19.95" customHeight="1" x14ac:dyDescent="0.25">
      <c r="A41" s="78" t="s">
        <v>348</v>
      </c>
      <c r="B41" s="17" t="s">
        <v>349</v>
      </c>
      <c r="H41" s="93" t="s">
        <v>391</v>
      </c>
    </row>
    <row r="43" spans="1:8" x14ac:dyDescent="0.25">
      <c r="H43" s="94" t="s">
        <v>392</v>
      </c>
    </row>
    <row r="44" spans="1:8" x14ac:dyDescent="0.25">
      <c r="H44" s="95"/>
    </row>
    <row r="45" spans="1:8" ht="15" x14ac:dyDescent="0.25">
      <c r="H45" s="96" t="s">
        <v>393</v>
      </c>
    </row>
    <row r="46" spans="1:8" ht="15" x14ac:dyDescent="0.25">
      <c r="H46" s="96" t="s">
        <v>394</v>
      </c>
    </row>
    <row r="47" spans="1:8" ht="15" x14ac:dyDescent="0.25">
      <c r="H47" s="96" t="s">
        <v>395</v>
      </c>
    </row>
    <row r="48" spans="1:8" x14ac:dyDescent="0.25">
      <c r="H48" s="96" t="s">
        <v>396</v>
      </c>
    </row>
    <row r="50" spans="8:8" x14ac:dyDescent="0.25">
      <c r="H50" s="92" t="s">
        <v>397</v>
      </c>
    </row>
    <row r="51" spans="8:8" x14ac:dyDescent="0.25">
      <c r="H51" s="95"/>
    </row>
    <row r="52" spans="8:8" x14ac:dyDescent="0.25">
      <c r="H52" s="96" t="s">
        <v>398</v>
      </c>
    </row>
    <row r="53" spans="8:8" x14ac:dyDescent="0.25">
      <c r="H53" s="96" t="s">
        <v>399</v>
      </c>
    </row>
    <row r="54" spans="8:8" x14ac:dyDescent="0.25">
      <c r="H54" s="96" t="s">
        <v>400</v>
      </c>
    </row>
    <row r="55" spans="8:8" x14ac:dyDescent="0.25">
      <c r="H55" s="96" t="s">
        <v>401</v>
      </c>
    </row>
    <row r="56" spans="8:8" x14ac:dyDescent="0.25">
      <c r="H56" s="96" t="s">
        <v>402</v>
      </c>
    </row>
    <row r="60" spans="8:8" ht="15.6" x14ac:dyDescent="0.25">
      <c r="H60" s="93" t="s">
        <v>403</v>
      </c>
    </row>
    <row r="62" spans="8:8" ht="15" x14ac:dyDescent="0.35">
      <c r="H62" s="94" t="s">
        <v>404</v>
      </c>
    </row>
  </sheetData>
  <mergeCells count="6">
    <mergeCell ref="A28:F28"/>
    <mergeCell ref="A1:F1"/>
    <mergeCell ref="A9:F9"/>
    <mergeCell ref="A34:F34"/>
    <mergeCell ref="A3:F3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0"/>
  <sheetViews>
    <sheetView workbookViewId="0"/>
  </sheetViews>
  <sheetFormatPr defaultRowHeight="13.2" x14ac:dyDescent="0.25"/>
  <sheetData>
    <row r="1" spans="1:2" x14ac:dyDescent="0.25">
      <c r="A1" t="s">
        <v>77</v>
      </c>
      <c r="B1" t="s">
        <v>6</v>
      </c>
    </row>
    <row r="2" spans="1:2" x14ac:dyDescent="0.25">
      <c r="A2" t="s">
        <v>78</v>
      </c>
      <c r="B2" t="s">
        <v>8</v>
      </c>
    </row>
    <row r="3" spans="1:2" x14ac:dyDescent="0.25">
      <c r="A3" t="s">
        <v>79</v>
      </c>
      <c r="B3" t="s">
        <v>9</v>
      </c>
    </row>
    <row r="4" spans="1:2" x14ac:dyDescent="0.25">
      <c r="A4" t="s">
        <v>80</v>
      </c>
      <c r="B4" t="s">
        <v>11</v>
      </c>
    </row>
    <row r="5" spans="1:2" x14ac:dyDescent="0.25">
      <c r="A5" t="s">
        <v>81</v>
      </c>
      <c r="B5" t="s">
        <v>12</v>
      </c>
    </row>
    <row r="6" spans="1:2" x14ac:dyDescent="0.25">
      <c r="A6" t="s">
        <v>82</v>
      </c>
      <c r="B6" t="s">
        <v>13</v>
      </c>
    </row>
    <row r="7" spans="1:2" x14ac:dyDescent="0.25">
      <c r="A7" t="s">
        <v>83</v>
      </c>
      <c r="B7" t="s">
        <v>14</v>
      </c>
    </row>
    <row r="8" spans="1:2" x14ac:dyDescent="0.25">
      <c r="A8" t="s">
        <v>84</v>
      </c>
      <c r="B8" t="s">
        <v>15</v>
      </c>
    </row>
    <row r="9" spans="1:2" x14ac:dyDescent="0.25">
      <c r="A9" t="s">
        <v>85</v>
      </c>
      <c r="B9" t="s">
        <v>17</v>
      </c>
    </row>
    <row r="10" spans="1:2" x14ac:dyDescent="0.25">
      <c r="A10" t="s">
        <v>86</v>
      </c>
      <c r="B10" t="s">
        <v>18</v>
      </c>
    </row>
    <row r="11" spans="1:2" x14ac:dyDescent="0.25">
      <c r="A11" t="s">
        <v>87</v>
      </c>
      <c r="B11" t="s">
        <v>19</v>
      </c>
    </row>
    <row r="12" spans="1:2" x14ac:dyDescent="0.25">
      <c r="A12" t="s">
        <v>88</v>
      </c>
      <c r="B12" t="s">
        <v>20</v>
      </c>
    </row>
    <row r="13" spans="1:2" x14ac:dyDescent="0.25">
      <c r="A13" t="s">
        <v>89</v>
      </c>
      <c r="B13" t="s">
        <v>21</v>
      </c>
    </row>
    <row r="14" spans="1:2" x14ac:dyDescent="0.25">
      <c r="A14" t="s">
        <v>90</v>
      </c>
      <c r="B14" t="s">
        <v>22</v>
      </c>
    </row>
    <row r="15" spans="1:2" x14ac:dyDescent="0.25">
      <c r="A15" t="s">
        <v>92</v>
      </c>
      <c r="B15" t="s">
        <v>24</v>
      </c>
    </row>
    <row r="16" spans="1:2" x14ac:dyDescent="0.25">
      <c r="A16" t="s">
        <v>93</v>
      </c>
      <c r="B16" t="s">
        <v>26</v>
      </c>
    </row>
    <row r="17" spans="1:2" x14ac:dyDescent="0.25">
      <c r="A17" t="s">
        <v>94</v>
      </c>
      <c r="B17" t="s">
        <v>28</v>
      </c>
    </row>
    <row r="18" spans="1:2" x14ac:dyDescent="0.25">
      <c r="A18" t="s">
        <v>95</v>
      </c>
      <c r="B18" t="s">
        <v>30</v>
      </c>
    </row>
    <row r="19" spans="1:2" x14ac:dyDescent="0.25">
      <c r="A19" t="s">
        <v>96</v>
      </c>
    </row>
    <row r="20" spans="1:2" x14ac:dyDescent="0.25">
      <c r="A20" t="s">
        <v>97</v>
      </c>
    </row>
    <row r="21" spans="1:2" x14ac:dyDescent="0.25">
      <c r="A21" t="s">
        <v>98</v>
      </c>
    </row>
    <row r="22" spans="1:2" x14ac:dyDescent="0.25">
      <c r="A22" t="s">
        <v>100</v>
      </c>
    </row>
    <row r="23" spans="1:2" x14ac:dyDescent="0.25">
      <c r="A23" t="s">
        <v>101</v>
      </c>
    </row>
    <row r="24" spans="1:2" x14ac:dyDescent="0.25">
      <c r="A24" t="s">
        <v>102</v>
      </c>
    </row>
    <row r="25" spans="1:2" x14ac:dyDescent="0.25">
      <c r="A25" t="s">
        <v>104</v>
      </c>
    </row>
    <row r="26" spans="1:2" x14ac:dyDescent="0.25">
      <c r="A26" t="s">
        <v>105</v>
      </c>
    </row>
    <row r="27" spans="1:2" x14ac:dyDescent="0.25">
      <c r="A27" t="s">
        <v>106</v>
      </c>
    </row>
    <row r="28" spans="1:2" x14ac:dyDescent="0.25">
      <c r="A28" t="s">
        <v>107</v>
      </c>
    </row>
    <row r="29" spans="1:2" x14ac:dyDescent="0.25">
      <c r="A29" t="s">
        <v>108</v>
      </c>
    </row>
    <row r="30" spans="1:2" x14ac:dyDescent="0.25">
      <c r="A30" t="s">
        <v>110</v>
      </c>
    </row>
    <row r="31" spans="1:2" x14ac:dyDescent="0.25">
      <c r="A31" t="s">
        <v>111</v>
      </c>
    </row>
    <row r="32" spans="1:2" x14ac:dyDescent="0.25">
      <c r="A32" t="s">
        <v>112</v>
      </c>
    </row>
    <row r="33" spans="1:1" x14ac:dyDescent="0.25">
      <c r="A33" t="s">
        <v>114</v>
      </c>
    </row>
    <row r="34" spans="1:1" x14ac:dyDescent="0.25">
      <c r="A34" t="s">
        <v>115</v>
      </c>
    </row>
    <row r="35" spans="1:1" x14ac:dyDescent="0.25">
      <c r="A35" t="s">
        <v>117</v>
      </c>
    </row>
    <row r="36" spans="1:1" x14ac:dyDescent="0.25">
      <c r="A36" t="s">
        <v>118</v>
      </c>
    </row>
    <row r="37" spans="1:1" x14ac:dyDescent="0.25">
      <c r="A37" t="s">
        <v>119</v>
      </c>
    </row>
    <row r="38" spans="1:1" x14ac:dyDescent="0.25">
      <c r="A38" t="s">
        <v>120</v>
      </c>
    </row>
    <row r="39" spans="1:1" x14ac:dyDescent="0.25">
      <c r="A39" t="s">
        <v>121</v>
      </c>
    </row>
    <row r="40" spans="1:1" x14ac:dyDescent="0.25">
      <c r="A40" t="s">
        <v>123</v>
      </c>
    </row>
    <row r="41" spans="1:1" x14ac:dyDescent="0.25">
      <c r="A41" t="s">
        <v>124</v>
      </c>
    </row>
    <row r="42" spans="1:1" x14ac:dyDescent="0.25">
      <c r="A42" t="s">
        <v>125</v>
      </c>
    </row>
    <row r="43" spans="1:1" x14ac:dyDescent="0.25">
      <c r="A43" t="s">
        <v>126</v>
      </c>
    </row>
    <row r="44" spans="1:1" x14ac:dyDescent="0.25">
      <c r="A44" t="s">
        <v>127</v>
      </c>
    </row>
    <row r="45" spans="1:1" x14ac:dyDescent="0.25">
      <c r="A45" t="s">
        <v>128</v>
      </c>
    </row>
    <row r="46" spans="1:1" x14ac:dyDescent="0.25">
      <c r="A46" t="s">
        <v>129</v>
      </c>
    </row>
    <row r="47" spans="1:1" x14ac:dyDescent="0.25">
      <c r="A47" t="s">
        <v>131</v>
      </c>
    </row>
    <row r="48" spans="1:1" x14ac:dyDescent="0.25">
      <c r="A48" t="s">
        <v>132</v>
      </c>
    </row>
    <row r="49" spans="1:1" x14ac:dyDescent="0.25">
      <c r="A49" t="s">
        <v>133</v>
      </c>
    </row>
    <row r="50" spans="1:1" x14ac:dyDescent="0.25">
      <c r="A50" t="s">
        <v>134</v>
      </c>
    </row>
    <row r="51" spans="1:1" x14ac:dyDescent="0.25">
      <c r="A51" t="s">
        <v>135</v>
      </c>
    </row>
    <row r="52" spans="1:1" x14ac:dyDescent="0.25">
      <c r="A52" t="s">
        <v>136</v>
      </c>
    </row>
    <row r="53" spans="1:1" x14ac:dyDescent="0.25">
      <c r="A53" t="s">
        <v>137</v>
      </c>
    </row>
    <row r="54" spans="1:1" x14ac:dyDescent="0.25">
      <c r="A54" t="s">
        <v>138</v>
      </c>
    </row>
    <row r="55" spans="1:1" x14ac:dyDescent="0.25">
      <c r="A55" t="s">
        <v>139</v>
      </c>
    </row>
    <row r="56" spans="1:1" x14ac:dyDescent="0.25">
      <c r="A56" t="s">
        <v>140</v>
      </c>
    </row>
    <row r="57" spans="1:1" x14ac:dyDescent="0.25">
      <c r="A57" t="s">
        <v>142</v>
      </c>
    </row>
    <row r="58" spans="1:1" x14ac:dyDescent="0.25">
      <c r="A58" t="s">
        <v>143</v>
      </c>
    </row>
    <row r="59" spans="1:1" x14ac:dyDescent="0.25">
      <c r="A59" t="s">
        <v>144</v>
      </c>
    </row>
    <row r="60" spans="1:1" x14ac:dyDescent="0.25">
      <c r="A60" t="s">
        <v>145</v>
      </c>
    </row>
    <row r="61" spans="1:1" x14ac:dyDescent="0.25">
      <c r="A61" t="s">
        <v>147</v>
      </c>
    </row>
    <row r="62" spans="1:1" x14ac:dyDescent="0.25">
      <c r="A62" t="s">
        <v>148</v>
      </c>
    </row>
    <row r="63" spans="1:1" x14ac:dyDescent="0.25">
      <c r="A63" t="s">
        <v>152</v>
      </c>
    </row>
    <row r="64" spans="1:1" x14ac:dyDescent="0.25">
      <c r="A64" t="s">
        <v>153</v>
      </c>
    </row>
    <row r="65" spans="1:1" x14ac:dyDescent="0.25">
      <c r="A65" t="s">
        <v>154</v>
      </c>
    </row>
    <row r="66" spans="1:1" x14ac:dyDescent="0.25">
      <c r="A66" t="s">
        <v>155</v>
      </c>
    </row>
    <row r="67" spans="1:1" x14ac:dyDescent="0.25">
      <c r="A67" t="s">
        <v>157</v>
      </c>
    </row>
    <row r="68" spans="1:1" x14ac:dyDescent="0.25">
      <c r="A68" t="s">
        <v>158</v>
      </c>
    </row>
    <row r="69" spans="1:1" x14ac:dyDescent="0.25">
      <c r="A69" t="s">
        <v>159</v>
      </c>
    </row>
    <row r="70" spans="1:1" x14ac:dyDescent="0.25">
      <c r="A70" t="s">
        <v>160</v>
      </c>
    </row>
    <row r="71" spans="1:1" x14ac:dyDescent="0.25">
      <c r="A71" t="s">
        <v>161</v>
      </c>
    </row>
    <row r="72" spans="1:1" x14ac:dyDescent="0.25">
      <c r="A72" t="s">
        <v>162</v>
      </c>
    </row>
    <row r="73" spans="1:1" x14ac:dyDescent="0.25">
      <c r="A73" t="s">
        <v>163</v>
      </c>
    </row>
    <row r="74" spans="1:1" x14ac:dyDescent="0.25">
      <c r="A74" t="s">
        <v>165</v>
      </c>
    </row>
    <row r="75" spans="1:1" x14ac:dyDescent="0.25">
      <c r="A75" t="s">
        <v>166</v>
      </c>
    </row>
    <row r="76" spans="1:1" x14ac:dyDescent="0.25">
      <c r="A76" t="s">
        <v>168</v>
      </c>
    </row>
    <row r="77" spans="1:1" x14ac:dyDescent="0.25">
      <c r="A77" t="s">
        <v>170</v>
      </c>
    </row>
    <row r="78" spans="1:1" x14ac:dyDescent="0.25">
      <c r="A78" t="s">
        <v>171</v>
      </c>
    </row>
    <row r="79" spans="1:1" x14ac:dyDescent="0.25">
      <c r="A79" t="s">
        <v>172</v>
      </c>
    </row>
    <row r="80" spans="1:1" x14ac:dyDescent="0.25">
      <c r="A80" t="s">
        <v>173</v>
      </c>
    </row>
    <row r="81" spans="1:1" x14ac:dyDescent="0.25">
      <c r="A81" t="s">
        <v>174</v>
      </c>
    </row>
    <row r="82" spans="1:1" x14ac:dyDescent="0.25">
      <c r="A82" t="s">
        <v>176</v>
      </c>
    </row>
    <row r="83" spans="1:1" x14ac:dyDescent="0.25">
      <c r="A83" t="s">
        <v>177</v>
      </c>
    </row>
    <row r="84" spans="1:1" x14ac:dyDescent="0.25">
      <c r="A84" t="s">
        <v>178</v>
      </c>
    </row>
    <row r="85" spans="1:1" x14ac:dyDescent="0.25">
      <c r="A85" t="s">
        <v>180</v>
      </c>
    </row>
    <row r="86" spans="1:1" x14ac:dyDescent="0.25">
      <c r="A86" t="s">
        <v>181</v>
      </c>
    </row>
    <row r="87" spans="1:1" x14ac:dyDescent="0.25">
      <c r="A87" t="s">
        <v>183</v>
      </c>
    </row>
    <row r="88" spans="1:1" x14ac:dyDescent="0.25">
      <c r="A88" t="s">
        <v>184</v>
      </c>
    </row>
    <row r="89" spans="1:1" x14ac:dyDescent="0.25">
      <c r="A89" t="s">
        <v>185</v>
      </c>
    </row>
    <row r="90" spans="1:1" x14ac:dyDescent="0.25">
      <c r="A90" t="s">
        <v>186</v>
      </c>
    </row>
    <row r="91" spans="1:1" x14ac:dyDescent="0.25">
      <c r="A91" t="s">
        <v>187</v>
      </c>
    </row>
    <row r="92" spans="1:1" x14ac:dyDescent="0.25">
      <c r="A92" t="s">
        <v>188</v>
      </c>
    </row>
    <row r="93" spans="1:1" x14ac:dyDescent="0.25">
      <c r="A93" t="s">
        <v>189</v>
      </c>
    </row>
    <row r="94" spans="1:1" x14ac:dyDescent="0.25">
      <c r="A94" t="s">
        <v>191</v>
      </c>
    </row>
    <row r="95" spans="1:1" x14ac:dyDescent="0.25">
      <c r="A95" t="s">
        <v>192</v>
      </c>
    </row>
    <row r="96" spans="1:1" x14ac:dyDescent="0.25">
      <c r="A96" t="s">
        <v>193</v>
      </c>
    </row>
    <row r="97" spans="1:1" x14ac:dyDescent="0.25">
      <c r="A97" t="s">
        <v>194</v>
      </c>
    </row>
    <row r="98" spans="1:1" x14ac:dyDescent="0.25">
      <c r="A98" t="s">
        <v>195</v>
      </c>
    </row>
    <row r="99" spans="1:1" x14ac:dyDescent="0.25">
      <c r="A99" t="s">
        <v>197</v>
      </c>
    </row>
    <row r="100" spans="1:1" x14ac:dyDescent="0.25">
      <c r="A100" t="s">
        <v>199</v>
      </c>
    </row>
    <row r="101" spans="1:1" x14ac:dyDescent="0.25">
      <c r="A101" t="s">
        <v>200</v>
      </c>
    </row>
    <row r="102" spans="1:1" x14ac:dyDescent="0.25">
      <c r="A102" t="s">
        <v>201</v>
      </c>
    </row>
    <row r="103" spans="1:1" x14ac:dyDescent="0.25">
      <c r="A103" t="s">
        <v>203</v>
      </c>
    </row>
    <row r="104" spans="1:1" x14ac:dyDescent="0.25">
      <c r="A104" t="s">
        <v>205</v>
      </c>
    </row>
    <row r="105" spans="1:1" x14ac:dyDescent="0.25">
      <c r="A105" t="s">
        <v>206</v>
      </c>
    </row>
    <row r="106" spans="1:1" x14ac:dyDescent="0.25">
      <c r="A106" t="s">
        <v>208</v>
      </c>
    </row>
    <row r="107" spans="1:1" x14ac:dyDescent="0.25">
      <c r="A107" t="s">
        <v>209</v>
      </c>
    </row>
    <row r="108" spans="1:1" x14ac:dyDescent="0.25">
      <c r="A108" t="s">
        <v>210</v>
      </c>
    </row>
    <row r="109" spans="1:1" x14ac:dyDescent="0.25">
      <c r="A109" t="s">
        <v>211</v>
      </c>
    </row>
    <row r="110" spans="1:1" x14ac:dyDescent="0.25">
      <c r="A110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AMBIENTES</vt:lpstr>
      <vt:lpstr>LAMPADAS</vt:lpstr>
      <vt:lpstr>NBR</vt:lpstr>
      <vt:lpstr>CONSULTA</vt:lpstr>
      <vt:lpstr>TUTORIAL</vt:lpstr>
      <vt:lpstr>_LISTAS</vt:lpstr>
      <vt:lpstr>Fluxo</vt:lpstr>
      <vt:lpstr>Fluxo_Lampadas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Nívea Lopes</cp:lastModifiedBy>
  <cp:revision>0</cp:revision>
  <dcterms:created xsi:type="dcterms:W3CDTF">2001-01-29T18:37:23Z</dcterms:created>
  <dcterms:modified xsi:type="dcterms:W3CDTF">2026-06-15T20:22:31Z</dcterms:modified>
  <dc:language>en-US</dc:language>
</cp:coreProperties>
</file>